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4467383/Dropbox/MoffittResearch/AntiFragility/Antifragility_2021/BD31/"/>
    </mc:Choice>
  </mc:AlternateContent>
  <xr:revisionPtr revIDLastSave="0" documentId="13_ncr:1_{74C30CC1-0445-824D-A688-2AC795EA7071}" xr6:coauthVersionLast="47" xr6:coauthVersionMax="47" xr10:uidLastSave="{00000000-0000-0000-0000-000000000000}"/>
  <bookViews>
    <workbookView xWindow="400" yWindow="660" windowWidth="34260" windowHeight="17520" activeTab="1" xr2:uid="{BB31187D-08E5-0D42-9699-DC37A098ABF3}"/>
  </bookViews>
  <sheets>
    <sheet name="Re-shuffled mice" sheetId="1" r:id="rId1"/>
    <sheet name="Tumor measurement" sheetId="2" r:id="rId2"/>
    <sheet name="comments 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11" i="2" l="1"/>
  <c r="S111" i="2"/>
  <c r="T111" i="2"/>
  <c r="U111" i="2"/>
  <c r="V111" i="2"/>
  <c r="W111" i="2"/>
  <c r="X111" i="2"/>
  <c r="Y111" i="2"/>
  <c r="Z111" i="2"/>
  <c r="AA111" i="2"/>
  <c r="AB111" i="2"/>
  <c r="AC111" i="2"/>
  <c r="AD111" i="2"/>
  <c r="AE111" i="2"/>
  <c r="B111" i="2"/>
  <c r="C111" i="2"/>
  <c r="D111" i="2"/>
  <c r="E111" i="2"/>
  <c r="F111" i="2"/>
  <c r="G111" i="2"/>
  <c r="H111" i="2"/>
  <c r="I111" i="2"/>
  <c r="J111" i="2"/>
  <c r="K111" i="2"/>
  <c r="L111" i="2"/>
  <c r="M111" i="2"/>
  <c r="N111" i="2"/>
  <c r="O111" i="2"/>
  <c r="P111" i="2"/>
  <c r="Q111" i="2"/>
  <c r="R87" i="2"/>
  <c r="S87" i="2"/>
  <c r="T87" i="2"/>
  <c r="U87" i="2"/>
  <c r="V87" i="2"/>
  <c r="W87" i="2"/>
  <c r="X87" i="2"/>
  <c r="Y87" i="2"/>
  <c r="Z87" i="2"/>
  <c r="AA87" i="2"/>
  <c r="AB87" i="2"/>
  <c r="AC87" i="2"/>
  <c r="AD87" i="2"/>
  <c r="AE87" i="2"/>
  <c r="B87" i="2"/>
  <c r="C87" i="2"/>
  <c r="D87" i="2"/>
  <c r="E87" i="2"/>
  <c r="F87" i="2"/>
  <c r="G87" i="2"/>
  <c r="H87" i="2"/>
  <c r="I87" i="2"/>
  <c r="J87" i="2"/>
  <c r="K87" i="2"/>
  <c r="L87" i="2"/>
  <c r="M87" i="2"/>
  <c r="N87" i="2"/>
  <c r="O87" i="2"/>
  <c r="P87" i="2"/>
  <c r="Q87" i="2"/>
  <c r="R62" i="2"/>
  <c r="S62" i="2"/>
  <c r="T62" i="2"/>
  <c r="U62" i="2"/>
  <c r="V62" i="2"/>
  <c r="W62" i="2"/>
  <c r="X62" i="2"/>
  <c r="Y62" i="2"/>
  <c r="Z62" i="2"/>
  <c r="AA62" i="2"/>
  <c r="AB62" i="2"/>
  <c r="AC62" i="2"/>
  <c r="AD62" i="2"/>
  <c r="AE62" i="2"/>
  <c r="B62" i="2"/>
  <c r="C62" i="2"/>
  <c r="D62" i="2"/>
  <c r="E62" i="2"/>
  <c r="F62" i="2"/>
  <c r="G62" i="2"/>
  <c r="H62" i="2"/>
  <c r="I62" i="2"/>
  <c r="J62" i="2"/>
  <c r="K62" i="2"/>
  <c r="L62" i="2"/>
  <c r="M62" i="2"/>
  <c r="N62" i="2"/>
  <c r="O62" i="2"/>
  <c r="P62" i="2"/>
  <c r="Q62" i="2"/>
  <c r="R59" i="2"/>
  <c r="S59" i="2"/>
  <c r="R60" i="2"/>
  <c r="S60" i="2"/>
  <c r="R61" i="2"/>
  <c r="S61" i="2"/>
  <c r="T59" i="2"/>
  <c r="U59" i="2"/>
  <c r="T60" i="2"/>
  <c r="U60" i="2"/>
  <c r="T61" i="2"/>
  <c r="U61" i="2"/>
  <c r="U58" i="2"/>
  <c r="B61" i="2"/>
  <c r="C61" i="2"/>
  <c r="D61" i="2"/>
  <c r="E61" i="2"/>
  <c r="F61" i="2"/>
  <c r="G61" i="2"/>
  <c r="H61" i="2"/>
  <c r="I61" i="2"/>
  <c r="J61" i="2"/>
  <c r="K61" i="2"/>
  <c r="L61" i="2"/>
  <c r="M61" i="2"/>
  <c r="N61" i="2"/>
  <c r="O61" i="2"/>
  <c r="P61" i="2"/>
  <c r="Q61" i="2"/>
  <c r="V61" i="2"/>
  <c r="W61" i="2"/>
  <c r="X61" i="2"/>
  <c r="Y61" i="2"/>
  <c r="Z61" i="2"/>
  <c r="AA61" i="2"/>
  <c r="AB61" i="2"/>
  <c r="AC61" i="2"/>
  <c r="AD61" i="2"/>
  <c r="AE61" i="2"/>
  <c r="Y60" i="2"/>
  <c r="Z60" i="2"/>
  <c r="AA60" i="2"/>
  <c r="AB60" i="2"/>
  <c r="AC60" i="2"/>
  <c r="AD60" i="2"/>
  <c r="AE60" i="2"/>
  <c r="B60" i="2"/>
  <c r="C60" i="2"/>
  <c r="D60" i="2"/>
  <c r="E60" i="2"/>
  <c r="F60" i="2"/>
  <c r="G60" i="2"/>
  <c r="H60" i="2"/>
  <c r="I60" i="2"/>
  <c r="J60" i="2"/>
  <c r="K60" i="2"/>
  <c r="L60" i="2"/>
  <c r="M60" i="2"/>
  <c r="N60" i="2"/>
  <c r="O60" i="2"/>
  <c r="P60" i="2"/>
  <c r="Q60" i="2"/>
  <c r="V60" i="2"/>
  <c r="W60" i="2"/>
  <c r="X60" i="2"/>
  <c r="V59" i="2"/>
  <c r="W59" i="2"/>
  <c r="X59" i="2"/>
  <c r="Y59" i="2"/>
  <c r="Z59" i="2"/>
  <c r="AA59" i="2"/>
  <c r="AB59" i="2"/>
  <c r="AC59" i="2"/>
  <c r="AD59" i="2"/>
  <c r="AE59" i="2"/>
  <c r="B59" i="2"/>
  <c r="C59" i="2"/>
  <c r="D59" i="2"/>
  <c r="E59" i="2"/>
  <c r="F59" i="2"/>
  <c r="G59" i="2"/>
  <c r="H59" i="2"/>
  <c r="I59" i="2"/>
  <c r="J59" i="2"/>
  <c r="K59" i="2"/>
  <c r="L59" i="2"/>
  <c r="M59" i="2"/>
  <c r="N59" i="2"/>
  <c r="O59" i="2"/>
  <c r="P59" i="2"/>
  <c r="Q59" i="2"/>
  <c r="B58" i="2" l="1"/>
  <c r="C58" i="2"/>
  <c r="D58" i="2"/>
  <c r="E58" i="2"/>
  <c r="F58" i="2"/>
  <c r="G58" i="2"/>
  <c r="H58" i="2"/>
  <c r="I58" i="2"/>
  <c r="J58" i="2"/>
  <c r="K58" i="2"/>
  <c r="L58" i="2"/>
  <c r="M58" i="2"/>
  <c r="N58" i="2"/>
  <c r="O58" i="2"/>
  <c r="P58" i="2"/>
  <c r="Q58" i="2"/>
  <c r="R58" i="2"/>
  <c r="S58" i="2"/>
  <c r="T58" i="2"/>
  <c r="V58" i="2"/>
  <c r="W58" i="2"/>
  <c r="X58" i="2"/>
  <c r="Y58" i="2"/>
  <c r="Z58" i="2"/>
  <c r="AA58" i="2"/>
  <c r="AB58" i="2"/>
  <c r="AC58" i="2"/>
  <c r="AD58" i="2"/>
  <c r="AE58" i="2"/>
  <c r="R57" i="2"/>
  <c r="S57" i="2"/>
  <c r="T57" i="2"/>
  <c r="U57" i="2"/>
  <c r="V57" i="2"/>
  <c r="W57" i="2"/>
  <c r="X57" i="2"/>
  <c r="Y57" i="2"/>
  <c r="Z57" i="2"/>
  <c r="AA57" i="2"/>
  <c r="AB57" i="2"/>
  <c r="AC57" i="2"/>
  <c r="AD57" i="2"/>
  <c r="AE57" i="2"/>
  <c r="B57" i="2"/>
  <c r="C57" i="2"/>
  <c r="D57" i="2"/>
  <c r="E57" i="2"/>
  <c r="F57" i="2"/>
  <c r="G57" i="2"/>
  <c r="H57" i="2"/>
  <c r="I57" i="2"/>
  <c r="J57" i="2"/>
  <c r="K57" i="2"/>
  <c r="L57" i="2"/>
  <c r="M57" i="2"/>
  <c r="N57" i="2"/>
  <c r="O57" i="2"/>
  <c r="P57" i="2"/>
  <c r="Q57" i="2"/>
  <c r="P56" i="2"/>
  <c r="Q56" i="2"/>
  <c r="R56" i="2"/>
  <c r="S56" i="2"/>
  <c r="T56" i="2"/>
  <c r="U56" i="2"/>
  <c r="V56" i="2"/>
  <c r="W56" i="2"/>
  <c r="X56" i="2"/>
  <c r="Y56" i="2"/>
  <c r="Z56" i="2"/>
  <c r="AA56" i="2"/>
  <c r="AB56" i="2"/>
  <c r="AC56" i="2"/>
  <c r="AD56" i="2"/>
  <c r="AE56" i="2"/>
  <c r="B56" i="2"/>
  <c r="C56" i="2"/>
  <c r="D56" i="2"/>
  <c r="E56" i="2"/>
  <c r="F56" i="2"/>
  <c r="G56" i="2"/>
  <c r="H56" i="2"/>
  <c r="I56" i="2"/>
  <c r="J56" i="2"/>
  <c r="K56" i="2"/>
  <c r="L56" i="2"/>
  <c r="M56" i="2"/>
  <c r="N56" i="2"/>
  <c r="O56" i="2"/>
  <c r="U55" i="2"/>
  <c r="V55" i="2"/>
  <c r="W55" i="2"/>
  <c r="X55" i="2"/>
  <c r="Y55" i="2"/>
  <c r="Z55" i="2"/>
  <c r="AA55" i="2"/>
  <c r="AB55" i="2"/>
  <c r="AC55" i="2"/>
  <c r="AD55" i="2"/>
  <c r="AE55" i="2"/>
  <c r="B55" i="2"/>
  <c r="C55" i="2"/>
  <c r="D55" i="2"/>
  <c r="E55" i="2"/>
  <c r="F55" i="2"/>
  <c r="G55" i="2"/>
  <c r="H55" i="2"/>
  <c r="I55" i="2"/>
  <c r="J55" i="2"/>
  <c r="K55" i="2"/>
  <c r="L55" i="2"/>
  <c r="M55" i="2"/>
  <c r="N55" i="2"/>
  <c r="O55" i="2"/>
  <c r="P55" i="2"/>
  <c r="Q55" i="2"/>
  <c r="R55" i="2"/>
  <c r="S55" i="2"/>
  <c r="T55" i="2"/>
  <c r="R54" i="2"/>
  <c r="S54" i="2"/>
  <c r="T54" i="2"/>
  <c r="U54" i="2"/>
  <c r="V54" i="2"/>
  <c r="W54" i="2"/>
  <c r="X54" i="2"/>
  <c r="Y54" i="2"/>
  <c r="Z54" i="2"/>
  <c r="AA54" i="2"/>
  <c r="AB54" i="2"/>
  <c r="AC54" i="2"/>
  <c r="AD54" i="2"/>
  <c r="AE54" i="2"/>
  <c r="B54" i="2"/>
  <c r="C54" i="2"/>
  <c r="D54" i="2"/>
  <c r="E54" i="2"/>
  <c r="F54" i="2"/>
  <c r="G54" i="2"/>
  <c r="H54" i="2"/>
  <c r="I54" i="2"/>
  <c r="J54" i="2"/>
  <c r="K54" i="2"/>
  <c r="L54" i="2"/>
  <c r="M54" i="2"/>
  <c r="N54" i="2"/>
  <c r="O54" i="2"/>
  <c r="P54" i="2"/>
  <c r="Q54" i="2"/>
  <c r="S53" i="2"/>
  <c r="T53" i="2"/>
  <c r="U53" i="2"/>
  <c r="V53" i="2"/>
  <c r="W53" i="2"/>
  <c r="X53" i="2"/>
  <c r="Y53" i="2"/>
  <c r="Z53" i="2"/>
  <c r="AA53" i="2"/>
  <c r="AB53" i="2"/>
  <c r="AC53" i="2"/>
  <c r="AD53" i="2"/>
  <c r="AE53" i="2"/>
  <c r="B53" i="2"/>
  <c r="C53" i="2"/>
  <c r="D53" i="2"/>
  <c r="E53" i="2"/>
  <c r="F53" i="2"/>
  <c r="G53" i="2"/>
  <c r="H53" i="2"/>
  <c r="I53" i="2"/>
  <c r="J53" i="2"/>
  <c r="K53" i="2"/>
  <c r="L53" i="2"/>
  <c r="M53" i="2"/>
  <c r="N53" i="2"/>
  <c r="O53" i="2"/>
  <c r="P53" i="2"/>
  <c r="Q53" i="2"/>
  <c r="R53" i="2"/>
  <c r="S52" i="2" l="1"/>
  <c r="T52" i="2"/>
  <c r="U52" i="2"/>
  <c r="V52" i="2"/>
  <c r="W52" i="2"/>
  <c r="X52" i="2"/>
  <c r="Y52" i="2"/>
  <c r="Z52" i="2"/>
  <c r="AA52" i="2"/>
  <c r="AB52" i="2"/>
  <c r="AC52" i="2"/>
  <c r="AD52" i="2"/>
  <c r="AE52" i="2"/>
  <c r="B52" i="2"/>
  <c r="C52" i="2"/>
  <c r="D52" i="2"/>
  <c r="E52" i="2"/>
  <c r="F52" i="2"/>
  <c r="G52" i="2"/>
  <c r="H52" i="2"/>
  <c r="I52" i="2"/>
  <c r="J52" i="2"/>
  <c r="K52" i="2"/>
  <c r="L52" i="2"/>
  <c r="M52" i="2"/>
  <c r="N52" i="2"/>
  <c r="O52" i="2"/>
  <c r="P52" i="2"/>
  <c r="Q52" i="2"/>
  <c r="R52" i="2"/>
  <c r="Z51" i="2"/>
  <c r="AA51" i="2"/>
  <c r="AB51" i="2"/>
  <c r="AC51" i="2"/>
  <c r="AD51" i="2"/>
  <c r="AE51" i="2"/>
  <c r="J51" i="2"/>
  <c r="K51" i="2"/>
  <c r="L51" i="2"/>
  <c r="M51" i="2"/>
  <c r="N51" i="2"/>
  <c r="O51" i="2"/>
  <c r="P51" i="2"/>
  <c r="Q51" i="2"/>
  <c r="R51" i="2"/>
  <c r="S51" i="2"/>
  <c r="T51" i="2"/>
  <c r="U51" i="2"/>
  <c r="V51" i="2"/>
  <c r="W51" i="2"/>
  <c r="X51" i="2"/>
  <c r="Y51" i="2"/>
  <c r="B51" i="2"/>
  <c r="C51" i="2"/>
  <c r="D51" i="2"/>
  <c r="E51" i="2"/>
  <c r="F51" i="2"/>
  <c r="G51" i="2"/>
  <c r="H51" i="2"/>
  <c r="I51" i="2"/>
  <c r="O50" i="2"/>
  <c r="Z50" i="2"/>
  <c r="AA50" i="2"/>
  <c r="AB50" i="2"/>
  <c r="AC50" i="2"/>
  <c r="AD50" i="2"/>
  <c r="AE50" i="2"/>
  <c r="B50" i="2"/>
  <c r="C50" i="2"/>
  <c r="D50" i="2"/>
  <c r="E50" i="2"/>
  <c r="F50" i="2"/>
  <c r="G50" i="2"/>
  <c r="H50" i="2"/>
  <c r="I50" i="2"/>
  <c r="J50" i="2"/>
  <c r="K50" i="2"/>
  <c r="L50" i="2"/>
  <c r="M50" i="2"/>
  <c r="N50" i="2"/>
  <c r="P50" i="2"/>
  <c r="Q50" i="2"/>
  <c r="R50" i="2"/>
  <c r="S50" i="2"/>
  <c r="T50" i="2"/>
  <c r="U50" i="2"/>
  <c r="V50" i="2"/>
  <c r="W50" i="2"/>
  <c r="X50" i="2"/>
  <c r="Y50" i="2"/>
  <c r="B49" i="2"/>
  <c r="C49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X49" i="2"/>
  <c r="Y49" i="2"/>
  <c r="Z49" i="2"/>
  <c r="AA49" i="2"/>
  <c r="AB49" i="2"/>
  <c r="AC49" i="2"/>
  <c r="AD49" i="2"/>
  <c r="AE49" i="2"/>
  <c r="AE48" i="2"/>
  <c r="V48" i="2"/>
  <c r="W48" i="2"/>
  <c r="X48" i="2"/>
  <c r="Y48" i="2"/>
  <c r="Z48" i="2"/>
  <c r="AA48" i="2"/>
  <c r="AA86" i="2" s="1"/>
  <c r="AA110" i="2" s="1"/>
  <c r="AB48" i="2"/>
  <c r="AB86" i="2" s="1"/>
  <c r="AB110" i="2" s="1"/>
  <c r="AC48" i="2"/>
  <c r="AD48" i="2"/>
  <c r="C48" i="2"/>
  <c r="D48" i="2"/>
  <c r="E48" i="2"/>
  <c r="F48" i="2"/>
  <c r="F86" i="2" s="1"/>
  <c r="F110" i="2" s="1"/>
  <c r="G48" i="2"/>
  <c r="H48" i="2"/>
  <c r="I48" i="2"/>
  <c r="J48" i="2"/>
  <c r="K48" i="2"/>
  <c r="L48" i="2"/>
  <c r="M48" i="2"/>
  <c r="N48" i="2"/>
  <c r="O48" i="2"/>
  <c r="P48" i="2"/>
  <c r="P86" i="2" s="1"/>
  <c r="P110" i="2" s="1"/>
  <c r="Q48" i="2"/>
  <c r="R48" i="2"/>
  <c r="R83" i="2" s="1"/>
  <c r="S48" i="2"/>
  <c r="T48" i="2"/>
  <c r="T83" i="2" s="1"/>
  <c r="U48" i="2"/>
  <c r="B48" i="2"/>
  <c r="Q85" i="2" l="1"/>
  <c r="Q109" i="2" s="1"/>
  <c r="Q86" i="2"/>
  <c r="Q110" i="2" s="1"/>
  <c r="I85" i="2"/>
  <c r="I109" i="2" s="1"/>
  <c r="I86" i="2"/>
  <c r="I110" i="2" s="1"/>
  <c r="AC85" i="2"/>
  <c r="AC109" i="2" s="1"/>
  <c r="AC86" i="2"/>
  <c r="AC110" i="2" s="1"/>
  <c r="AE85" i="2"/>
  <c r="AE109" i="2" s="1"/>
  <c r="AE86" i="2"/>
  <c r="AE110" i="2" s="1"/>
  <c r="V86" i="2"/>
  <c r="V110" i="2" s="1"/>
  <c r="V84" i="2"/>
  <c r="V85" i="2"/>
  <c r="V109" i="2" s="1"/>
  <c r="H85" i="2"/>
  <c r="H109" i="2" s="1"/>
  <c r="H86" i="2"/>
  <c r="H110" i="2" s="1"/>
  <c r="S85" i="2"/>
  <c r="S109" i="2" s="1"/>
  <c r="S86" i="2"/>
  <c r="S110" i="2" s="1"/>
  <c r="S84" i="2"/>
  <c r="S108" i="2" s="1"/>
  <c r="O85" i="2"/>
  <c r="O109" i="2" s="1"/>
  <c r="O86" i="2"/>
  <c r="O110" i="2" s="1"/>
  <c r="C85" i="2"/>
  <c r="C109" i="2" s="1"/>
  <c r="C86" i="2"/>
  <c r="C110" i="2" s="1"/>
  <c r="AD85" i="2"/>
  <c r="AD109" i="2" s="1"/>
  <c r="AD86" i="2"/>
  <c r="AD110" i="2" s="1"/>
  <c r="G85" i="2"/>
  <c r="G109" i="2" s="1"/>
  <c r="G86" i="2"/>
  <c r="G110" i="2" s="1"/>
  <c r="S83" i="2"/>
  <c r="K85" i="2"/>
  <c r="K109" i="2" s="1"/>
  <c r="K86" i="2"/>
  <c r="K110" i="2" s="1"/>
  <c r="J85" i="2"/>
  <c r="J109" i="2" s="1"/>
  <c r="J86" i="2"/>
  <c r="J110" i="2" s="1"/>
  <c r="B85" i="2"/>
  <c r="B109" i="2" s="1"/>
  <c r="B86" i="2"/>
  <c r="B110" i="2" s="1"/>
  <c r="V83" i="2"/>
  <c r="W86" i="2"/>
  <c r="W110" i="2" s="1"/>
  <c r="W85" i="2"/>
  <c r="W109" i="2" s="1"/>
  <c r="W84" i="2"/>
  <c r="R85" i="2"/>
  <c r="R109" i="2" s="1"/>
  <c r="R84" i="2"/>
  <c r="R108" i="2" s="1"/>
  <c r="R86" i="2"/>
  <c r="R110" i="2" s="1"/>
  <c r="N85" i="2"/>
  <c r="N109" i="2" s="1"/>
  <c r="N86" i="2"/>
  <c r="N110" i="2" s="1"/>
  <c r="Z85" i="2"/>
  <c r="Z109" i="2" s="1"/>
  <c r="Z86" i="2"/>
  <c r="Z110" i="2" s="1"/>
  <c r="U86" i="2"/>
  <c r="U110" i="2" s="1"/>
  <c r="U85" i="2"/>
  <c r="U109" i="2" s="1"/>
  <c r="U83" i="2"/>
  <c r="U84" i="2"/>
  <c r="U108" i="2" s="1"/>
  <c r="M85" i="2"/>
  <c r="M109" i="2" s="1"/>
  <c r="M86" i="2"/>
  <c r="M110" i="2" s="1"/>
  <c r="E85" i="2"/>
  <c r="E109" i="2" s="1"/>
  <c r="E86" i="2"/>
  <c r="E110" i="2" s="1"/>
  <c r="Y85" i="2"/>
  <c r="Y109" i="2" s="1"/>
  <c r="Y86" i="2"/>
  <c r="Y110" i="2" s="1"/>
  <c r="T86" i="2"/>
  <c r="T110" i="2" s="1"/>
  <c r="T85" i="2"/>
  <c r="T109" i="2" s="1"/>
  <c r="T84" i="2"/>
  <c r="T108" i="2" s="1"/>
  <c r="L85" i="2"/>
  <c r="L109" i="2" s="1"/>
  <c r="L86" i="2"/>
  <c r="L110" i="2" s="1"/>
  <c r="D85" i="2"/>
  <c r="D109" i="2" s="1"/>
  <c r="D86" i="2"/>
  <c r="D110" i="2" s="1"/>
  <c r="X85" i="2"/>
  <c r="X109" i="2" s="1"/>
  <c r="X86" i="2"/>
  <c r="X110" i="2" s="1"/>
  <c r="W83" i="2"/>
  <c r="AB84" i="2"/>
  <c r="AB108" i="2" s="1"/>
  <c r="AB85" i="2"/>
  <c r="AB109" i="2" s="1"/>
  <c r="F84" i="2"/>
  <c r="F108" i="2" s="1"/>
  <c r="F85" i="2"/>
  <c r="F109" i="2" s="1"/>
  <c r="P84" i="2"/>
  <c r="P108" i="2" s="1"/>
  <c r="P85" i="2"/>
  <c r="P109" i="2" s="1"/>
  <c r="AA84" i="2"/>
  <c r="AA108" i="2" s="1"/>
  <c r="AA85" i="2"/>
  <c r="AA109" i="2" s="1"/>
  <c r="H81" i="2"/>
  <c r="H105" i="2" s="1"/>
  <c r="H84" i="2"/>
  <c r="H108" i="2" s="1"/>
  <c r="O81" i="2"/>
  <c r="O105" i="2" s="1"/>
  <c r="O84" i="2"/>
  <c r="O108" i="2" s="1"/>
  <c r="G82" i="2"/>
  <c r="G106" i="2" s="1"/>
  <c r="G84" i="2"/>
  <c r="G108" i="2" s="1"/>
  <c r="N80" i="2"/>
  <c r="N104" i="2" s="1"/>
  <c r="N84" i="2"/>
  <c r="N108" i="2" s="1"/>
  <c r="U81" i="2"/>
  <c r="U105" i="2" s="1"/>
  <c r="M83" i="2"/>
  <c r="M107" i="2" s="1"/>
  <c r="M84" i="2"/>
  <c r="M108" i="2" s="1"/>
  <c r="E83" i="2"/>
  <c r="E107" i="2" s="1"/>
  <c r="E84" i="2"/>
  <c r="E108" i="2" s="1"/>
  <c r="Y79" i="2"/>
  <c r="Y103" i="2" s="1"/>
  <c r="Y84" i="2"/>
  <c r="Y108" i="2" s="1"/>
  <c r="B79" i="2"/>
  <c r="B103" i="2" s="1"/>
  <c r="B84" i="2"/>
  <c r="B108" i="2" s="1"/>
  <c r="Z80" i="2"/>
  <c r="Z104" i="2" s="1"/>
  <c r="Z84" i="2"/>
  <c r="Z108" i="2" s="1"/>
  <c r="T80" i="2"/>
  <c r="T104" i="2" s="1"/>
  <c r="L73" i="2"/>
  <c r="L97" i="2" s="1"/>
  <c r="L84" i="2"/>
  <c r="L108" i="2" s="1"/>
  <c r="D80" i="2"/>
  <c r="D104" i="2" s="1"/>
  <c r="D84" i="2"/>
  <c r="D108" i="2" s="1"/>
  <c r="X83" i="2"/>
  <c r="X107" i="2" s="1"/>
  <c r="X84" i="2"/>
  <c r="X108" i="2" s="1"/>
  <c r="S82" i="2"/>
  <c r="S106" i="2" s="1"/>
  <c r="K79" i="2"/>
  <c r="K103" i="2" s="1"/>
  <c r="K84" i="2"/>
  <c r="K108" i="2" s="1"/>
  <c r="C80" i="2"/>
  <c r="C104" i="2" s="1"/>
  <c r="C84" i="2"/>
  <c r="C108" i="2" s="1"/>
  <c r="W79" i="2"/>
  <c r="W103" i="2" s="1"/>
  <c r="W108" i="2"/>
  <c r="R80" i="2"/>
  <c r="R104" i="2" s="1"/>
  <c r="J83" i="2"/>
  <c r="J107" i="2" s="1"/>
  <c r="J84" i="2"/>
  <c r="J108" i="2" s="1"/>
  <c r="AD79" i="2"/>
  <c r="AD103" i="2" s="1"/>
  <c r="AD84" i="2"/>
  <c r="AD108" i="2" s="1"/>
  <c r="V79" i="2"/>
  <c r="V103" i="2" s="1"/>
  <c r="V108" i="2"/>
  <c r="Q83" i="2"/>
  <c r="Q107" i="2" s="1"/>
  <c r="Q84" i="2"/>
  <c r="Q108" i="2" s="1"/>
  <c r="I82" i="2"/>
  <c r="I106" i="2" s="1"/>
  <c r="I84" i="2"/>
  <c r="I108" i="2" s="1"/>
  <c r="AC81" i="2"/>
  <c r="AC105" i="2" s="1"/>
  <c r="AC84" i="2"/>
  <c r="AC108" i="2" s="1"/>
  <c r="AE79" i="2"/>
  <c r="AE103" i="2" s="1"/>
  <c r="AE84" i="2"/>
  <c r="AE108" i="2" s="1"/>
  <c r="AB74" i="2"/>
  <c r="AB98" i="2" s="1"/>
  <c r="T74" i="2"/>
  <c r="T98" i="2" s="1"/>
  <c r="L74" i="2"/>
  <c r="L98" i="2" s="1"/>
  <c r="D74" i="2"/>
  <c r="D98" i="2" s="1"/>
  <c r="G75" i="2"/>
  <c r="G99" i="2" s="1"/>
  <c r="T75" i="2"/>
  <c r="T99" i="2" s="1"/>
  <c r="V77" i="2"/>
  <c r="V101" i="2" s="1"/>
  <c r="I74" i="2"/>
  <c r="I98" i="2" s="1"/>
  <c r="G73" i="2"/>
  <c r="G97" i="2" s="1"/>
  <c r="X75" i="2"/>
  <c r="X99" i="2" s="1"/>
  <c r="V76" i="2"/>
  <c r="V100" i="2" s="1"/>
  <c r="W75" i="2"/>
  <c r="W99" i="2" s="1"/>
  <c r="AB75" i="2"/>
  <c r="AB99" i="2" s="1"/>
  <c r="J79" i="2"/>
  <c r="J103" i="2" s="1"/>
  <c r="N75" i="2"/>
  <c r="N99" i="2" s="1"/>
  <c r="F75" i="2"/>
  <c r="F99" i="2" s="1"/>
  <c r="L83" i="2"/>
  <c r="L107" i="2" s="1"/>
  <c r="Y80" i="2"/>
  <c r="Y104" i="2" s="1"/>
  <c r="M77" i="2"/>
  <c r="M101" i="2" s="1"/>
  <c r="E77" i="2"/>
  <c r="E101" i="2" s="1"/>
  <c r="S77" i="2"/>
  <c r="S101" i="2" s="1"/>
  <c r="J74" i="2"/>
  <c r="J98" i="2" s="1"/>
  <c r="D76" i="2"/>
  <c r="D100" i="2" s="1"/>
  <c r="T76" i="2"/>
  <c r="T100" i="2" s="1"/>
  <c r="L76" i="2"/>
  <c r="L100" i="2" s="1"/>
  <c r="Z76" i="2"/>
  <c r="Z100" i="2" s="1"/>
  <c r="AD82" i="2"/>
  <c r="AD106" i="2" s="1"/>
  <c r="Y74" i="2"/>
  <c r="Y98" i="2" s="1"/>
  <c r="AE74" i="2"/>
  <c r="AE98" i="2" s="1"/>
  <c r="W74" i="2"/>
  <c r="W98" i="2" s="1"/>
  <c r="O74" i="2"/>
  <c r="O98" i="2" s="1"/>
  <c r="G74" i="2"/>
  <c r="G98" i="2" s="1"/>
  <c r="J75" i="2"/>
  <c r="J99" i="2" s="1"/>
  <c r="C83" i="2"/>
  <c r="C107" i="2" s="1"/>
  <c r="Q76" i="2"/>
  <c r="Q100" i="2" s="1"/>
  <c r="AA76" i="2"/>
  <c r="AA100" i="2" s="1"/>
  <c r="AD74" i="2"/>
  <c r="AD98" i="2" s="1"/>
  <c r="V74" i="2"/>
  <c r="V98" i="2" s="1"/>
  <c r="AE73" i="2"/>
  <c r="AE97" i="2" s="1"/>
  <c r="I75" i="2"/>
  <c r="I99" i="2" s="1"/>
  <c r="AE75" i="2"/>
  <c r="AE99" i="2" s="1"/>
  <c r="K83" i="2"/>
  <c r="K107" i="2" s="1"/>
  <c r="I81" i="2"/>
  <c r="I105" i="2" s="1"/>
  <c r="AB78" i="2"/>
  <c r="AB102" i="2" s="1"/>
  <c r="AB81" i="2"/>
  <c r="AB105" i="2" s="1"/>
  <c r="AB82" i="2"/>
  <c r="AB106" i="2" s="1"/>
  <c r="AB83" i="2"/>
  <c r="AB107" i="2" s="1"/>
  <c r="G83" i="2"/>
  <c r="G107" i="2" s="1"/>
  <c r="AA80" i="2"/>
  <c r="AA104" i="2" s="1"/>
  <c r="P76" i="2"/>
  <c r="P100" i="2" s="1"/>
  <c r="P80" i="2"/>
  <c r="P104" i="2" s="1"/>
  <c r="P83" i="2"/>
  <c r="P107" i="2" s="1"/>
  <c r="O78" i="2"/>
  <c r="O102" i="2" s="1"/>
  <c r="O80" i="2"/>
  <c r="O104" i="2" s="1"/>
  <c r="Y83" i="2"/>
  <c r="Y107" i="2" s="1"/>
  <c r="O83" i="2"/>
  <c r="O107" i="2" s="1"/>
  <c r="E80" i="2"/>
  <c r="E104" i="2" s="1"/>
  <c r="M80" i="2"/>
  <c r="M104" i="2" s="1"/>
  <c r="B78" i="2"/>
  <c r="B102" i="2" s="1"/>
  <c r="B82" i="2"/>
  <c r="B106" i="2" s="1"/>
  <c r="B80" i="2"/>
  <c r="B104" i="2" s="1"/>
  <c r="N78" i="2"/>
  <c r="N102" i="2" s="1"/>
  <c r="N81" i="2"/>
  <c r="N105" i="2" s="1"/>
  <c r="F78" i="2"/>
  <c r="F102" i="2" s="1"/>
  <c r="F81" i="2"/>
  <c r="F105" i="2" s="1"/>
  <c r="F82" i="2"/>
  <c r="F106" i="2" s="1"/>
  <c r="Z78" i="2"/>
  <c r="Z102" i="2" s="1"/>
  <c r="Z83" i="2"/>
  <c r="Z107" i="2" s="1"/>
  <c r="Z82" i="2"/>
  <c r="Z106" i="2" s="1"/>
  <c r="Z81" i="2"/>
  <c r="Z105" i="2" s="1"/>
  <c r="Z79" i="2"/>
  <c r="Z103" i="2" s="1"/>
  <c r="U74" i="2"/>
  <c r="U98" i="2" s="1"/>
  <c r="M74" i="2"/>
  <c r="M98" i="2" s="1"/>
  <c r="E74" i="2"/>
  <c r="E98" i="2" s="1"/>
  <c r="O73" i="2"/>
  <c r="O97" i="2" s="1"/>
  <c r="AD73" i="2"/>
  <c r="AD97" i="2" s="1"/>
  <c r="B76" i="2"/>
  <c r="B100" i="2" s="1"/>
  <c r="R76" i="2"/>
  <c r="R100" i="2" s="1"/>
  <c r="J76" i="2"/>
  <c r="J100" i="2" s="1"/>
  <c r="K77" i="2"/>
  <c r="K101" i="2" s="1"/>
  <c r="C77" i="2"/>
  <c r="C101" i="2" s="1"/>
  <c r="Y77" i="2"/>
  <c r="Y101" i="2" s="1"/>
  <c r="P82" i="2"/>
  <c r="P106" i="2" s="1"/>
  <c r="W82" i="2"/>
  <c r="W106" i="2" s="1"/>
  <c r="L80" i="2"/>
  <c r="L104" i="2" s="1"/>
  <c r="V81" i="2"/>
  <c r="V105" i="2" s="1"/>
  <c r="U82" i="2"/>
  <c r="U106" i="2" s="1"/>
  <c r="Q81" i="2"/>
  <c r="Q105" i="2" s="1"/>
  <c r="F80" i="2"/>
  <c r="F104" i="2" s="1"/>
  <c r="N83" i="2"/>
  <c r="N107" i="2" s="1"/>
  <c r="AB80" i="2"/>
  <c r="AB104" i="2" s="1"/>
  <c r="W73" i="2"/>
  <c r="W97" i="2" s="1"/>
  <c r="U75" i="2"/>
  <c r="U99" i="2" s="1"/>
  <c r="L75" i="2"/>
  <c r="L99" i="2" s="1"/>
  <c r="D75" i="2"/>
  <c r="D99" i="2" s="1"/>
  <c r="Z75" i="2"/>
  <c r="Z99" i="2" s="1"/>
  <c r="Y76" i="2"/>
  <c r="Y100" i="2" s="1"/>
  <c r="R77" i="2"/>
  <c r="R101" i="2" s="1"/>
  <c r="X77" i="2"/>
  <c r="X101" i="2" s="1"/>
  <c r="P81" i="2"/>
  <c r="P105" i="2" s="1"/>
  <c r="AE82" i="2"/>
  <c r="AE106" i="2" s="1"/>
  <c r="K80" i="2"/>
  <c r="K104" i="2" s="1"/>
  <c r="W107" i="2"/>
  <c r="AD81" i="2"/>
  <c r="AD105" i="2" s="1"/>
  <c r="AC82" i="2"/>
  <c r="AC106" i="2" s="1"/>
  <c r="Q79" i="2"/>
  <c r="Q103" i="2" s="1"/>
  <c r="AB79" i="2"/>
  <c r="AB103" i="2" s="1"/>
  <c r="N79" i="2"/>
  <c r="N103" i="2" s="1"/>
  <c r="F79" i="2"/>
  <c r="F103" i="2" s="1"/>
  <c r="X73" i="2"/>
  <c r="X97" i="2" s="1"/>
  <c r="X82" i="2"/>
  <c r="X106" i="2" s="1"/>
  <c r="X80" i="2"/>
  <c r="X104" i="2" s="1"/>
  <c r="AA74" i="2"/>
  <c r="AA98" i="2" s="1"/>
  <c r="S74" i="2"/>
  <c r="S98" i="2" s="1"/>
  <c r="K74" i="2"/>
  <c r="K98" i="2" s="1"/>
  <c r="C74" i="2"/>
  <c r="C98" i="2" s="1"/>
  <c r="K73" i="2"/>
  <c r="K97" i="2" s="1"/>
  <c r="V73" i="2"/>
  <c r="V97" i="2" s="1"/>
  <c r="K75" i="2"/>
  <c r="K99" i="2" s="1"/>
  <c r="C75" i="2"/>
  <c r="C99" i="2" s="1"/>
  <c r="O75" i="2"/>
  <c r="O99" i="2" s="1"/>
  <c r="X76" i="2"/>
  <c r="X100" i="2" s="1"/>
  <c r="Q77" i="2"/>
  <c r="Q101" i="2" s="1"/>
  <c r="I77" i="2"/>
  <c r="I101" i="2" s="1"/>
  <c r="W77" i="2"/>
  <c r="W101" i="2" s="1"/>
  <c r="P78" i="2"/>
  <c r="P102" i="2" s="1"/>
  <c r="Q80" i="2"/>
  <c r="Q104" i="2" s="1"/>
  <c r="S81" i="2"/>
  <c r="S105" i="2" s="1"/>
  <c r="AE83" i="2"/>
  <c r="AE107" i="2" s="1"/>
  <c r="S80" i="2"/>
  <c r="S104" i="2" s="1"/>
  <c r="AE81" i="2"/>
  <c r="AE105" i="2" s="1"/>
  <c r="AC79" i="2"/>
  <c r="AC103" i="2" s="1"/>
  <c r="W81" i="2"/>
  <c r="W105" i="2" s="1"/>
  <c r="AA78" i="2"/>
  <c r="AA102" i="2" s="1"/>
  <c r="AA83" i="2"/>
  <c r="AA107" i="2" s="1"/>
  <c r="AA82" i="2"/>
  <c r="AA106" i="2" s="1"/>
  <c r="AA79" i="2"/>
  <c r="AA103" i="2" s="1"/>
  <c r="M78" i="2"/>
  <c r="M102" i="2" s="1"/>
  <c r="M79" i="2"/>
  <c r="M103" i="2" s="1"/>
  <c r="E78" i="2"/>
  <c r="E102" i="2" s="1"/>
  <c r="E79" i="2"/>
  <c r="E103" i="2" s="1"/>
  <c r="L78" i="2"/>
  <c r="L102" i="2" s="1"/>
  <c r="L82" i="2"/>
  <c r="L106" i="2" s="1"/>
  <c r="L81" i="2"/>
  <c r="L105" i="2" s="1"/>
  <c r="L79" i="2"/>
  <c r="L103" i="2" s="1"/>
  <c r="C78" i="2"/>
  <c r="C102" i="2" s="1"/>
  <c r="C82" i="2"/>
  <c r="C106" i="2" s="1"/>
  <c r="C81" i="2"/>
  <c r="C105" i="2" s="1"/>
  <c r="Z74" i="2"/>
  <c r="Z98" i="2" s="1"/>
  <c r="R74" i="2"/>
  <c r="R98" i="2" s="1"/>
  <c r="R73" i="2"/>
  <c r="R97" i="2" s="1"/>
  <c r="G76" i="2"/>
  <c r="G100" i="2" s="1"/>
  <c r="W76" i="2"/>
  <c r="W100" i="2" s="1"/>
  <c r="O76" i="2"/>
  <c r="O100" i="2" s="1"/>
  <c r="P77" i="2"/>
  <c r="P101" i="2" s="1"/>
  <c r="H77" i="2"/>
  <c r="H101" i="2" s="1"/>
  <c r="AD77" i="2"/>
  <c r="AD101" i="2" s="1"/>
  <c r="B83" i="2"/>
  <c r="B107" i="2" s="1"/>
  <c r="Q82" i="2"/>
  <c r="Q106" i="2" s="1"/>
  <c r="C79" i="2"/>
  <c r="C103" i="2" s="1"/>
  <c r="AA81" i="2"/>
  <c r="AA105" i="2" s="1"/>
  <c r="O82" i="2"/>
  <c r="O106" i="2" s="1"/>
  <c r="F83" i="2"/>
  <c r="F107" i="2" s="1"/>
  <c r="V107" i="2"/>
  <c r="O79" i="2"/>
  <c r="O103" i="2" s="1"/>
  <c r="H73" i="2"/>
  <c r="H97" i="2" s="1"/>
  <c r="H80" i="2"/>
  <c r="H104" i="2" s="1"/>
  <c r="G78" i="2"/>
  <c r="G102" i="2" s="1"/>
  <c r="G80" i="2"/>
  <c r="G104" i="2" s="1"/>
  <c r="G79" i="2"/>
  <c r="G103" i="2" s="1"/>
  <c r="H82" i="2"/>
  <c r="H106" i="2" s="1"/>
  <c r="U78" i="2"/>
  <c r="U102" i="2" s="1"/>
  <c r="U80" i="2"/>
  <c r="U104" i="2" s="1"/>
  <c r="U107" i="2"/>
  <c r="U79" i="2"/>
  <c r="U103" i="2" s="1"/>
  <c r="Y73" i="2"/>
  <c r="Y97" i="2" s="1"/>
  <c r="Y82" i="2"/>
  <c r="Y106" i="2" s="1"/>
  <c r="Y81" i="2"/>
  <c r="Y105" i="2" s="1"/>
  <c r="T78" i="2"/>
  <c r="T102" i="2" s="1"/>
  <c r="T81" i="2"/>
  <c r="T105" i="2" s="1"/>
  <c r="T82" i="2"/>
  <c r="T106" i="2" s="1"/>
  <c r="T107" i="2"/>
  <c r="T79" i="2"/>
  <c r="T103" i="2" s="1"/>
  <c r="S78" i="2"/>
  <c r="S102" i="2" s="1"/>
  <c r="S107" i="2"/>
  <c r="S79" i="2"/>
  <c r="S103" i="2" s="1"/>
  <c r="W78" i="2"/>
  <c r="W102" i="2" s="1"/>
  <c r="W80" i="2"/>
  <c r="W104" i="2" s="1"/>
  <c r="AD76" i="2"/>
  <c r="AD100" i="2" s="1"/>
  <c r="AD80" i="2"/>
  <c r="AD104" i="2" s="1"/>
  <c r="AB76" i="2"/>
  <c r="AB100" i="2" s="1"/>
  <c r="O77" i="2"/>
  <c r="O101" i="2" s="1"/>
  <c r="G77" i="2"/>
  <c r="G101" i="2" s="1"/>
  <c r="E81" i="2"/>
  <c r="E105" i="2" s="1"/>
  <c r="P79" i="2"/>
  <c r="P103" i="2" s="1"/>
  <c r="E82" i="2"/>
  <c r="E106" i="2" s="1"/>
  <c r="B81" i="2"/>
  <c r="B105" i="2" s="1"/>
  <c r="X81" i="2"/>
  <c r="X105" i="2" s="1"/>
  <c r="AD83" i="2"/>
  <c r="AD107" i="2" s="1"/>
  <c r="P75" i="2"/>
  <c r="P99" i="2" s="1"/>
  <c r="D78" i="2"/>
  <c r="D102" i="2" s="1"/>
  <c r="D81" i="2"/>
  <c r="D105" i="2" s="1"/>
  <c r="D79" i="2"/>
  <c r="D103" i="2" s="1"/>
  <c r="D82" i="2"/>
  <c r="D106" i="2" s="1"/>
  <c r="K78" i="2"/>
  <c r="K102" i="2" s="1"/>
  <c r="K82" i="2"/>
  <c r="K106" i="2" s="1"/>
  <c r="K81" i="2"/>
  <c r="K105" i="2" s="1"/>
  <c r="R78" i="2"/>
  <c r="R102" i="2" s="1"/>
  <c r="R107" i="2"/>
  <c r="R82" i="2"/>
  <c r="R106" i="2" s="1"/>
  <c r="R79" i="2"/>
  <c r="R103" i="2" s="1"/>
  <c r="R81" i="2"/>
  <c r="R105" i="2" s="1"/>
  <c r="J78" i="2"/>
  <c r="J102" i="2" s="1"/>
  <c r="J82" i="2"/>
  <c r="J106" i="2" s="1"/>
  <c r="J80" i="2"/>
  <c r="J104" i="2" s="1"/>
  <c r="V78" i="2"/>
  <c r="V102" i="2" s="1"/>
  <c r="V80" i="2"/>
  <c r="V104" i="2" s="1"/>
  <c r="R75" i="2"/>
  <c r="R99" i="2" s="1"/>
  <c r="I73" i="2"/>
  <c r="I97" i="2" s="1"/>
  <c r="I80" i="2"/>
  <c r="I104" i="2" s="1"/>
  <c r="AC78" i="2"/>
  <c r="AC102" i="2" s="1"/>
  <c r="AC83" i="2"/>
  <c r="AC107" i="2" s="1"/>
  <c r="AC80" i="2"/>
  <c r="AC104" i="2" s="1"/>
  <c r="AE76" i="2"/>
  <c r="AE100" i="2" s="1"/>
  <c r="AE80" i="2"/>
  <c r="AE104" i="2" s="1"/>
  <c r="X74" i="2"/>
  <c r="X98" i="2" s="1"/>
  <c r="P74" i="2"/>
  <c r="P98" i="2" s="1"/>
  <c r="H74" i="2"/>
  <c r="H98" i="2" s="1"/>
  <c r="Y75" i="2"/>
  <c r="Y99" i="2" s="1"/>
  <c r="Q75" i="2"/>
  <c r="Q99" i="2" s="1"/>
  <c r="H75" i="2"/>
  <c r="H99" i="2" s="1"/>
  <c r="AD75" i="2"/>
  <c r="AD99" i="2" s="1"/>
  <c r="E76" i="2"/>
  <c r="E100" i="2" s="1"/>
  <c r="U76" i="2"/>
  <c r="U100" i="2" s="1"/>
  <c r="M76" i="2"/>
  <c r="M100" i="2" s="1"/>
  <c r="N77" i="2"/>
  <c r="N101" i="2" s="1"/>
  <c r="F77" i="2"/>
  <c r="F101" i="2" s="1"/>
  <c r="AB77" i="2"/>
  <c r="AB101" i="2" s="1"/>
  <c r="T77" i="2"/>
  <c r="T101" i="2" s="1"/>
  <c r="V82" i="2"/>
  <c r="V106" i="2" s="1"/>
  <c r="I79" i="2"/>
  <c r="I103" i="2" s="1"/>
  <c r="X79" i="2"/>
  <c r="X103" i="2" s="1"/>
  <c r="D83" i="2"/>
  <c r="D107" i="2" s="1"/>
  <c r="M81" i="2"/>
  <c r="M105" i="2" s="1"/>
  <c r="G81" i="2"/>
  <c r="G105" i="2" s="1"/>
  <c r="I83" i="2"/>
  <c r="I107" i="2" s="1"/>
  <c r="H79" i="2"/>
  <c r="H103" i="2" s="1"/>
  <c r="M82" i="2"/>
  <c r="M106" i="2" s="1"/>
  <c r="H83" i="2"/>
  <c r="H107" i="2" s="1"/>
  <c r="N82" i="2"/>
  <c r="N106" i="2" s="1"/>
  <c r="J81" i="2"/>
  <c r="J105" i="2" s="1"/>
  <c r="N76" i="2"/>
  <c r="N100" i="2" s="1"/>
  <c r="AD78" i="2"/>
  <c r="AD102" i="2" s="1"/>
  <c r="N74" i="2"/>
  <c r="N98" i="2" s="1"/>
  <c r="AA75" i="2"/>
  <c r="AA99" i="2" s="1"/>
  <c r="S75" i="2"/>
  <c r="S99" i="2" s="1"/>
  <c r="L77" i="2"/>
  <c r="L101" i="2" s="1"/>
  <c r="D77" i="2"/>
  <c r="D101" i="2" s="1"/>
  <c r="U77" i="2"/>
  <c r="U101" i="2" s="1"/>
  <c r="H78" i="2"/>
  <c r="H102" i="2" s="1"/>
  <c r="F73" i="2"/>
  <c r="F97" i="2" s="1"/>
  <c r="E73" i="2"/>
  <c r="E97" i="2" s="1"/>
  <c r="Q74" i="2"/>
  <c r="Q98" i="2" s="1"/>
  <c r="AC73" i="2"/>
  <c r="AC97" i="2" s="1"/>
  <c r="U73" i="2"/>
  <c r="U97" i="2" s="1"/>
  <c r="M75" i="2"/>
  <c r="M99" i="2" s="1"/>
  <c r="E75" i="2"/>
  <c r="E99" i="2" s="1"/>
  <c r="AE77" i="2"/>
  <c r="AE101" i="2" s="1"/>
  <c r="Y78" i="2"/>
  <c r="Y102" i="2" s="1"/>
  <c r="AE78" i="2"/>
  <c r="AE102" i="2" s="1"/>
  <c r="F74" i="2"/>
  <c r="F98" i="2" s="1"/>
  <c r="Q73" i="2"/>
  <c r="Q97" i="2" s="1"/>
  <c r="AB73" i="2"/>
  <c r="AB97" i="2" s="1"/>
  <c r="T73" i="2"/>
  <c r="T97" i="2" s="1"/>
  <c r="S76" i="2"/>
  <c r="S100" i="2" s="1"/>
  <c r="K76" i="2"/>
  <c r="K100" i="2" s="1"/>
  <c r="C76" i="2"/>
  <c r="C100" i="2" s="1"/>
  <c r="J77" i="2"/>
  <c r="J101" i="2" s="1"/>
  <c r="B77" i="2"/>
  <c r="B101" i="2" s="1"/>
  <c r="I78" i="2"/>
  <c r="I102" i="2" s="1"/>
  <c r="F76" i="2"/>
  <c r="F100" i="2" s="1"/>
  <c r="D73" i="2"/>
  <c r="D97" i="2" s="1"/>
  <c r="B73" i="2"/>
  <c r="B97" i="2" s="1"/>
  <c r="J73" i="2"/>
  <c r="J97" i="2" s="1"/>
  <c r="P73" i="2"/>
  <c r="P97" i="2" s="1"/>
  <c r="AA73" i="2"/>
  <c r="AA97" i="2" s="1"/>
  <c r="S73" i="2"/>
  <c r="S97" i="2" s="1"/>
  <c r="Q78" i="2"/>
  <c r="Q102" i="2" s="1"/>
  <c r="X78" i="2"/>
  <c r="X102" i="2" s="1"/>
  <c r="AC74" i="2"/>
  <c r="AC98" i="2" s="1"/>
  <c r="B74" i="2"/>
  <c r="B98" i="2" s="1"/>
  <c r="B75" i="2"/>
  <c r="B99" i="2" s="1"/>
  <c r="C73" i="2"/>
  <c r="C97" i="2" s="1"/>
  <c r="V75" i="2"/>
  <c r="V99" i="2" s="1"/>
  <c r="H76" i="2"/>
  <c r="H100" i="2" s="1"/>
  <c r="AA77" i="2"/>
  <c r="AA101" i="2" s="1"/>
  <c r="Z73" i="2"/>
  <c r="Z97" i="2" s="1"/>
  <c r="I76" i="2"/>
  <c r="I100" i="2" s="1"/>
  <c r="N73" i="2"/>
  <c r="N97" i="2" s="1"/>
  <c r="M73" i="2"/>
  <c r="M97" i="2" s="1"/>
  <c r="Z77" i="2"/>
  <c r="Z101" i="2" s="1"/>
  <c r="AC75" i="2"/>
  <c r="AC99" i="2" s="1"/>
  <c r="AC76" i="2"/>
  <c r="AC100" i="2" s="1"/>
  <c r="AC77" i="2"/>
  <c r="AC101" i="2" s="1"/>
</calcChain>
</file>

<file path=xl/sharedStrings.xml><?xml version="1.0" encoding="utf-8"?>
<sst xmlns="http://schemas.openxmlformats.org/spreadsheetml/2006/main" count="320" uniqueCount="63">
  <si>
    <t>NSG</t>
  </si>
  <si>
    <t xml:space="preserve">We started Alectinib treatment </t>
  </si>
  <si>
    <t>Left</t>
  </si>
  <si>
    <t>Right</t>
  </si>
  <si>
    <t>07 29 2021</t>
  </si>
  <si>
    <t xml:space="preserve">Animals were injected with nuclear GFP H3122 cells - 700,000 cells/ site </t>
  </si>
  <si>
    <t>08 17 2021</t>
  </si>
  <si>
    <t>NSG_Female mice</t>
  </si>
  <si>
    <t>Cage #</t>
  </si>
  <si>
    <t>n/l</t>
  </si>
  <si>
    <t>Cage 1_248</t>
  </si>
  <si>
    <t>n/l (.)</t>
  </si>
  <si>
    <t>n/l (..)</t>
  </si>
  <si>
    <t>For anti-fragility experiment we have 15 mice in total, we discussed to have 4 group -</t>
  </si>
  <si>
    <r>
      <t>Alternate week dose cycles, 50mg/kg --&gt; no treatment (</t>
    </r>
    <r>
      <rPr>
        <b/>
        <sz val="15"/>
        <color rgb="FF1D1C1D"/>
        <rFont val="Arial"/>
        <family val="2"/>
      </rPr>
      <t>4 mice</t>
    </r>
    <r>
      <rPr>
        <sz val="15"/>
        <color rgb="FF1D1C1D"/>
        <rFont val="Arial"/>
        <family val="2"/>
      </rPr>
      <t>)</t>
    </r>
  </si>
  <si>
    <r>
      <t>Continuous 25 mg/kg (</t>
    </r>
    <r>
      <rPr>
        <b/>
        <sz val="15"/>
        <color rgb="FF1D1C1D"/>
        <rFont val="Arial"/>
        <family val="2"/>
      </rPr>
      <t>4 mice</t>
    </r>
    <r>
      <rPr>
        <sz val="15"/>
        <color rgb="FF1D1C1D"/>
        <rFont val="Arial"/>
        <family val="2"/>
      </rPr>
      <t>)</t>
    </r>
  </si>
  <si>
    <r>
      <t>Alternate week dose cycles, 25 mg/kg --&gt; no treatment (</t>
    </r>
    <r>
      <rPr>
        <b/>
        <sz val="15"/>
        <color rgb="FF1D1C1D"/>
        <rFont val="Arial"/>
        <family val="2"/>
      </rPr>
      <t>4 mice</t>
    </r>
    <r>
      <rPr>
        <sz val="15"/>
        <color rgb="FF1D1C1D"/>
        <rFont val="Arial"/>
        <family val="2"/>
      </rPr>
      <t>)</t>
    </r>
  </si>
  <si>
    <r>
      <t>Continuous 12.5 mg/kg (</t>
    </r>
    <r>
      <rPr>
        <b/>
        <sz val="15"/>
        <color rgb="FF1D1C1D"/>
        <rFont val="Arial"/>
        <family val="2"/>
      </rPr>
      <t>3 mice</t>
    </r>
    <r>
      <rPr>
        <sz val="15"/>
        <color rgb="FF1D1C1D"/>
        <rFont val="Arial"/>
        <family val="2"/>
      </rPr>
      <t>)</t>
    </r>
  </si>
  <si>
    <t>50/0 &lt; 25 mg</t>
  </si>
  <si>
    <t>25/0  &gt; 12.5</t>
  </si>
  <si>
    <t xml:space="preserve">Hypothesis - </t>
  </si>
  <si>
    <t>25 mg/kg / no treatment (4 mice)</t>
  </si>
  <si>
    <t>25 mg/kg (continuous, 4 mice)</t>
  </si>
  <si>
    <t>50 mg/kg / no treament (4 mice)</t>
  </si>
  <si>
    <t>Alec 12.5 mg/kg (continuous, 3 mice)</t>
  </si>
  <si>
    <t>n/l (.) - 78</t>
  </si>
  <si>
    <t>n/l - 78</t>
  </si>
  <si>
    <t>n/l- 79</t>
  </si>
  <si>
    <t>Cage 2_250</t>
  </si>
  <si>
    <t>Cage 2_244</t>
  </si>
  <si>
    <t>Cage 1_248_Female</t>
  </si>
  <si>
    <t>Cage 2_263_Female</t>
  </si>
  <si>
    <t>Cage 3_250_Female</t>
  </si>
  <si>
    <t>Tumor measurement were slightly less on previous round of measurement</t>
  </si>
  <si>
    <t>50 mg/kg / no treatment (4 mice)</t>
  </si>
  <si>
    <t>08 23 2021</t>
  </si>
  <si>
    <t xml:space="preserve">From Andriy in mouse channel </t>
  </si>
  <si>
    <t>08 24 2021</t>
  </si>
  <si>
    <t>@Bina today we will have an off week for the cycling group on antifragility experiment</t>
  </si>
  <si>
    <t>Note that the 2 cages from the page on the left have order of tumors reversed, right first, then left. Same is the case for 796-799 from August 17th</t>
  </si>
  <si>
    <t>08 23 2021, week 1</t>
  </si>
  <si>
    <t xml:space="preserve">No measurement --&gt; hence kept minimal from previous round of measurement </t>
  </si>
  <si>
    <t>substracting skin measurement</t>
  </si>
  <si>
    <t>Cage 4_244_Female</t>
  </si>
  <si>
    <t xml:space="preserve">Normalized </t>
  </si>
  <si>
    <t>Cubed * 100</t>
  </si>
  <si>
    <t>08 30 2021, week 2</t>
  </si>
  <si>
    <t>09 06 2021, week 3</t>
  </si>
  <si>
    <t>Post Rx break measurement for 2 groups on cycling treatment</t>
  </si>
  <si>
    <t>09 13 2021, week 4</t>
  </si>
  <si>
    <t>09 19 2021, week 5</t>
  </si>
  <si>
    <t>09 21 2021, week 5.2</t>
  </si>
  <si>
    <t>09 27 2021, week 6</t>
  </si>
  <si>
    <t>10 04 2021, week7</t>
  </si>
  <si>
    <t>10 04 2021, week 7</t>
  </si>
  <si>
    <t>10 11 2021, week 8</t>
  </si>
  <si>
    <t>10 11 2021, week8</t>
  </si>
  <si>
    <t xml:space="preserve">10 11 2021, week8 </t>
  </si>
  <si>
    <t>10 19 2021, week 9</t>
  </si>
  <si>
    <t>10 26 2021, week10</t>
  </si>
  <si>
    <t xml:space="preserve">10 31 2021, week 11 </t>
  </si>
  <si>
    <t>11 08 2021, week 12</t>
  </si>
  <si>
    <t>11 15 2021, week13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</si>
</sst>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20"/>
      <color rgb="FFFF0000"/>
      <name val="Calibri (Body)_x0000_"/>
    </font>
    <font>
      <sz val="14"/>
      <name val="Arial"/>
      <family val="2"/>
    </font>
    <font>
      <sz val="2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5"/>
      <color rgb="FF1D1C1D"/>
      <name val="Arial"/>
      <family val="2"/>
    </font>
    <font>
      <b/>
      <sz val="15"/>
      <color rgb="FF1D1C1D"/>
      <name val="Arial"/>
      <family val="2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rgb="FF1D1C1D"/>
      <name val="Arial"/>
      <family val="2"/>
    </font>
    <font>
      <sz val="14"/>
      <color theme="1"/>
      <name val="Arial"/>
      <family val="2"/>
    </font>
    <font>
      <b/>
      <sz val="14"/>
      <color rgb="FFFF0000"/>
      <name val="Arial"/>
      <family val="2"/>
    </font>
    <font>
      <b/>
      <sz val="14"/>
      <color theme="1"/>
      <name val="Arial"/>
      <family val="2"/>
    </font>
    <font>
      <sz val="14"/>
      <color rgb="FFFF0000"/>
      <name val="Arial"/>
      <family val="2"/>
    </font>
    <font>
      <b/>
      <sz val="14"/>
      <color rgb="FF1D1C1D"/>
      <name val="Arial"/>
      <family val="2"/>
    </font>
    <font>
      <b/>
      <sz val="14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rgb="FFFF0000"/>
      <name val="Arial "/>
    </font>
    <font>
      <b/>
      <sz val="20"/>
      <color rgb="FFFF0000"/>
      <name val="Arial"/>
      <family val="2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C00"/>
        <bgColor indexed="64"/>
      </patternFill>
    </fill>
    <fill>
      <patternFill patternType="solid">
        <fgColor rgb="FFFFFF00"/>
        <bgColor indexed="64"/>
      </patternFill>
    </fill>
  </fills>
  <borders count="6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1"/>
      </bottom>
      <diagonal/>
    </border>
    <border>
      <left/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medium">
        <color indexed="64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n">
        <color indexed="64"/>
      </left>
      <right style="thin">
        <color theme="1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theme="1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theme="1"/>
      </right>
      <top/>
      <bottom style="medium">
        <color indexed="64"/>
      </bottom>
      <diagonal/>
    </border>
    <border>
      <left style="thin">
        <color theme="1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theme="1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65">
    <xf numFmtId="0" fontId="0" fillId="0" borderId="0" xfId="0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8" fillId="0" borderId="0" xfId="0" applyFont="1"/>
    <xf numFmtId="0" fontId="10" fillId="0" borderId="0" xfId="0" applyFont="1"/>
    <xf numFmtId="0" fontId="2" fillId="3" borderId="18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1" fillId="4" borderId="21" xfId="0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0" fontId="1" fillId="4" borderId="29" xfId="0" applyFont="1" applyFill="1" applyBorder="1" applyAlignment="1">
      <alignment horizontal="center" vertical="center"/>
    </xf>
    <xf numFmtId="0" fontId="2" fillId="5" borderId="18" xfId="0" applyFont="1" applyFill="1" applyBorder="1" applyAlignment="1">
      <alignment horizontal="center" vertical="center"/>
    </xf>
    <xf numFmtId="0" fontId="1" fillId="5" borderId="21" xfId="0" applyFont="1" applyFill="1" applyBorder="1" applyAlignment="1">
      <alignment horizontal="center" vertical="center"/>
    </xf>
    <xf numFmtId="0" fontId="2" fillId="5" borderId="32" xfId="0" applyFont="1" applyFill="1" applyBorder="1" applyAlignment="1">
      <alignment horizontal="center" vertical="center"/>
    </xf>
    <xf numFmtId="0" fontId="2" fillId="5" borderId="35" xfId="0" applyFont="1" applyFill="1" applyBorder="1" applyAlignment="1">
      <alignment horizontal="center" vertical="center"/>
    </xf>
    <xf numFmtId="0" fontId="1" fillId="5" borderId="33" xfId="0" applyFont="1" applyFill="1" applyBorder="1" applyAlignment="1">
      <alignment horizontal="center" vertical="center"/>
    </xf>
    <xf numFmtId="0" fontId="1" fillId="5" borderId="34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/>
    </xf>
    <xf numFmtId="0" fontId="2" fillId="3" borderId="38" xfId="0" applyFont="1" applyFill="1" applyBorder="1" applyAlignment="1">
      <alignment horizontal="center" vertical="center"/>
    </xf>
    <xf numFmtId="0" fontId="2" fillId="3" borderId="39" xfId="0" applyFont="1" applyFill="1" applyBorder="1" applyAlignment="1">
      <alignment horizontal="center" vertical="center"/>
    </xf>
    <xf numFmtId="0" fontId="0" fillId="0" borderId="0" xfId="0" applyBorder="1" applyAlignment="1"/>
    <xf numFmtId="0" fontId="2" fillId="3" borderId="17" xfId="0" applyFont="1" applyFill="1" applyBorder="1" applyAlignment="1">
      <alignment horizontal="center" vertical="center"/>
    </xf>
    <xf numFmtId="0" fontId="1" fillId="3" borderId="28" xfId="0" applyFont="1" applyFill="1" applyBorder="1" applyAlignment="1">
      <alignment horizontal="center" vertical="center"/>
    </xf>
    <xf numFmtId="0" fontId="2" fillId="6" borderId="18" xfId="0" applyFont="1" applyFill="1" applyBorder="1" applyAlignment="1">
      <alignment horizontal="center" vertical="center"/>
    </xf>
    <xf numFmtId="0" fontId="1" fillId="6" borderId="21" xfId="0" applyFont="1" applyFill="1" applyBorder="1" applyAlignment="1">
      <alignment horizontal="center" vertical="center"/>
    </xf>
    <xf numFmtId="0" fontId="8" fillId="0" borderId="0" xfId="0" applyFont="1" applyFill="1" applyAlignment="1"/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14" fillId="0" borderId="0" xfId="0" applyFont="1"/>
    <xf numFmtId="0" fontId="14" fillId="0" borderId="9" xfId="0" applyFont="1" applyBorder="1" applyAlignment="1">
      <alignment horizontal="center"/>
    </xf>
    <xf numFmtId="0" fontId="14" fillId="0" borderId="5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3" borderId="17" xfId="0" applyFont="1" applyFill="1" applyBorder="1" applyAlignment="1">
      <alignment horizontal="center" vertical="center"/>
    </xf>
    <xf numFmtId="0" fontId="16" fillId="3" borderId="18" xfId="0" applyFont="1" applyFill="1" applyBorder="1" applyAlignment="1">
      <alignment horizontal="center" vertical="center"/>
    </xf>
    <xf numFmtId="0" fontId="16" fillId="3" borderId="38" xfId="0" applyFont="1" applyFill="1" applyBorder="1" applyAlignment="1">
      <alignment horizontal="center" vertical="center"/>
    </xf>
    <xf numFmtId="0" fontId="16" fillId="3" borderId="39" xfId="0" applyFont="1" applyFill="1" applyBorder="1" applyAlignment="1">
      <alignment horizontal="center" vertical="center"/>
    </xf>
    <xf numFmtId="0" fontId="20" fillId="4" borderId="17" xfId="0" applyFont="1" applyFill="1" applyBorder="1" applyAlignment="1">
      <alignment horizontal="center" vertical="center"/>
    </xf>
    <xf numFmtId="0" fontId="20" fillId="4" borderId="18" xfId="0" applyFont="1" applyFill="1" applyBorder="1" applyAlignment="1">
      <alignment horizontal="center" vertical="center"/>
    </xf>
    <xf numFmtId="0" fontId="20" fillId="4" borderId="19" xfId="0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center" vertical="center"/>
    </xf>
    <xf numFmtId="0" fontId="14" fillId="0" borderId="7" xfId="0" applyFont="1" applyBorder="1"/>
    <xf numFmtId="0" fontId="14" fillId="0" borderId="8" xfId="0" applyFont="1" applyBorder="1"/>
    <xf numFmtId="0" fontId="14" fillId="0" borderId="9" xfId="0" applyFont="1" applyBorder="1"/>
    <xf numFmtId="0" fontId="20" fillId="2" borderId="42" xfId="0" applyFont="1" applyFill="1" applyBorder="1" applyAlignment="1">
      <alignment horizontal="center" vertical="center"/>
    </xf>
    <xf numFmtId="0" fontId="20" fillId="2" borderId="19" xfId="0" applyFont="1" applyFill="1" applyBorder="1" applyAlignment="1">
      <alignment horizontal="center" vertical="center"/>
    </xf>
    <xf numFmtId="0" fontId="14" fillId="0" borderId="0" xfId="0" applyFont="1" applyFill="1" applyAlignment="1">
      <alignment horizontal="center" vertical="center"/>
    </xf>
    <xf numFmtId="0" fontId="17" fillId="0" borderId="44" xfId="0" applyFont="1" applyFill="1" applyBorder="1" applyAlignment="1">
      <alignment horizontal="center" vertical="center"/>
    </xf>
    <xf numFmtId="0" fontId="17" fillId="0" borderId="36" xfId="0" applyFont="1" applyFill="1" applyBorder="1" applyAlignment="1">
      <alignment horizontal="center" vertical="center"/>
    </xf>
    <xf numFmtId="0" fontId="17" fillId="0" borderId="37" xfId="0" applyFont="1" applyFill="1" applyBorder="1" applyAlignment="1">
      <alignment horizontal="center" vertical="center"/>
    </xf>
    <xf numFmtId="0" fontId="21" fillId="0" borderId="45" xfId="0" applyFont="1" applyFill="1" applyBorder="1" applyAlignment="1">
      <alignment horizontal="center" vertical="center"/>
    </xf>
    <xf numFmtId="0" fontId="21" fillId="0" borderId="21" xfId="0" applyFont="1" applyFill="1" applyBorder="1" applyAlignment="1">
      <alignment horizontal="center" vertical="center"/>
    </xf>
    <xf numFmtId="0" fontId="21" fillId="0" borderId="29" xfId="0" applyFont="1" applyFill="1" applyBorder="1" applyAlignment="1">
      <alignment horizontal="center" vertical="center"/>
    </xf>
    <xf numFmtId="0" fontId="21" fillId="0" borderId="40" xfId="0" applyFont="1" applyFill="1" applyBorder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0" fontId="21" fillId="0" borderId="33" xfId="0" applyFont="1" applyFill="1" applyBorder="1" applyAlignment="1">
      <alignment horizontal="center" vertical="center"/>
    </xf>
    <xf numFmtId="0" fontId="21" fillId="0" borderId="46" xfId="0" applyFont="1" applyFill="1" applyBorder="1" applyAlignment="1">
      <alignment horizontal="center" vertical="center"/>
    </xf>
    <xf numFmtId="0" fontId="14" fillId="0" borderId="0" xfId="0" applyFont="1" applyFill="1"/>
    <xf numFmtId="0" fontId="17" fillId="7" borderId="43" xfId="0" applyFont="1" applyFill="1" applyBorder="1" applyAlignment="1">
      <alignment horizontal="center" vertical="center"/>
    </xf>
    <xf numFmtId="0" fontId="21" fillId="7" borderId="47" xfId="0" applyFont="1" applyFill="1" applyBorder="1" applyAlignment="1">
      <alignment horizontal="center" vertical="center"/>
    </xf>
    <xf numFmtId="0" fontId="14" fillId="7" borderId="0" xfId="0" applyFont="1" applyFill="1"/>
    <xf numFmtId="0" fontId="21" fillId="7" borderId="21" xfId="0" applyFont="1" applyFill="1" applyBorder="1" applyAlignment="1">
      <alignment horizontal="center" vertical="center"/>
    </xf>
    <xf numFmtId="0" fontId="14" fillId="8" borderId="0" xfId="0" applyFont="1" applyFill="1"/>
    <xf numFmtId="0" fontId="14" fillId="5" borderId="0" xfId="0" applyFont="1" applyFill="1"/>
    <xf numFmtId="0" fontId="17" fillId="0" borderId="0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5" borderId="5" xfId="0" applyFont="1" applyFill="1" applyBorder="1" applyAlignment="1">
      <alignment horizontal="center" vertical="center"/>
    </xf>
    <xf numFmtId="0" fontId="17" fillId="5" borderId="0" xfId="0" applyFont="1" applyFill="1" applyBorder="1" applyAlignment="1">
      <alignment horizontal="center" vertical="center"/>
    </xf>
    <xf numFmtId="0" fontId="17" fillId="5" borderId="6" xfId="0" applyFont="1" applyFill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7" fillId="8" borderId="0" xfId="0" applyFont="1" applyFill="1" applyBorder="1" applyAlignment="1">
      <alignment horizontal="center" vertical="center"/>
    </xf>
    <xf numFmtId="0" fontId="19" fillId="5" borderId="42" xfId="0" applyFont="1" applyFill="1" applyBorder="1" applyAlignment="1">
      <alignment horizontal="center" vertical="center"/>
    </xf>
    <xf numFmtId="0" fontId="19" fillId="5" borderId="18" xfId="0" applyFont="1" applyFill="1" applyBorder="1" applyAlignment="1">
      <alignment horizontal="center" vertical="center"/>
    </xf>
    <xf numFmtId="0" fontId="19" fillId="6" borderId="18" xfId="0" applyFont="1" applyFill="1" applyBorder="1" applyAlignment="1">
      <alignment horizontal="center" vertical="center"/>
    </xf>
    <xf numFmtId="0" fontId="19" fillId="5" borderId="32" xfId="0" applyFont="1" applyFill="1" applyBorder="1" applyAlignment="1">
      <alignment horizontal="center" vertical="center"/>
    </xf>
    <xf numFmtId="0" fontId="19" fillId="5" borderId="35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0" fontId="17" fillId="0" borderId="5" xfId="0" applyFont="1" applyFill="1" applyBorder="1" applyAlignment="1">
      <alignment horizontal="center" vertical="center"/>
    </xf>
    <xf numFmtId="0" fontId="17" fillId="0" borderId="6" xfId="0" applyFont="1" applyFill="1" applyBorder="1" applyAlignment="1">
      <alignment horizontal="center" vertical="center"/>
    </xf>
    <xf numFmtId="0" fontId="16" fillId="3" borderId="50" xfId="0" applyFont="1" applyFill="1" applyBorder="1" applyAlignment="1">
      <alignment horizontal="center" vertical="center"/>
    </xf>
    <xf numFmtId="0" fontId="20" fillId="4" borderId="38" xfId="0" applyFont="1" applyFill="1" applyBorder="1" applyAlignment="1">
      <alignment horizontal="center" vertical="center"/>
    </xf>
    <xf numFmtId="0" fontId="20" fillId="4" borderId="39" xfId="0" applyFont="1" applyFill="1" applyBorder="1" applyAlignment="1">
      <alignment horizontal="center" vertical="center"/>
    </xf>
    <xf numFmtId="0" fontId="20" fillId="2" borderId="38" xfId="0" applyFont="1" applyFill="1" applyBorder="1" applyAlignment="1">
      <alignment horizontal="center" vertical="center"/>
    </xf>
    <xf numFmtId="0" fontId="20" fillId="2" borderId="39" xfId="0" applyFont="1" applyFill="1" applyBorder="1" applyAlignment="1">
      <alignment horizontal="center" vertical="center"/>
    </xf>
    <xf numFmtId="0" fontId="20" fillId="5" borderId="38" xfId="0" applyFont="1" applyFill="1" applyBorder="1" applyAlignment="1">
      <alignment horizontal="center" vertical="center"/>
    </xf>
    <xf numFmtId="0" fontId="20" fillId="6" borderId="38" xfId="0" applyFont="1" applyFill="1" applyBorder="1" applyAlignment="1">
      <alignment horizontal="center" vertical="center"/>
    </xf>
    <xf numFmtId="0" fontId="20" fillId="5" borderId="39" xfId="0" applyFont="1" applyFill="1" applyBorder="1" applyAlignment="1">
      <alignment horizontal="center" vertical="center"/>
    </xf>
    <xf numFmtId="0" fontId="16" fillId="3" borderId="54" xfId="0" applyFont="1" applyFill="1" applyBorder="1" applyAlignment="1">
      <alignment horizontal="center" vertical="center"/>
    </xf>
    <xf numFmtId="0" fontId="16" fillId="3" borderId="55" xfId="0" applyFont="1" applyFill="1" applyBorder="1" applyAlignment="1">
      <alignment horizontal="center" vertical="center"/>
    </xf>
    <xf numFmtId="0" fontId="16" fillId="3" borderId="56" xfId="0" applyFont="1" applyFill="1" applyBorder="1" applyAlignment="1">
      <alignment horizontal="center" vertical="center"/>
    </xf>
    <xf numFmtId="0" fontId="16" fillId="3" borderId="57" xfId="0" applyFont="1" applyFill="1" applyBorder="1" applyAlignment="1">
      <alignment horizontal="center" vertical="center"/>
    </xf>
    <xf numFmtId="0" fontId="20" fillId="4" borderId="58" xfId="0" applyFont="1" applyFill="1" applyBorder="1" applyAlignment="1">
      <alignment horizontal="center" vertical="center"/>
    </xf>
    <xf numFmtId="0" fontId="20" fillId="4" borderId="55" xfId="0" applyFont="1" applyFill="1" applyBorder="1" applyAlignment="1">
      <alignment horizontal="center" vertical="center"/>
    </xf>
    <xf numFmtId="0" fontId="20" fillId="4" borderId="59" xfId="0" applyFont="1" applyFill="1" applyBorder="1" applyAlignment="1">
      <alignment horizontal="center" vertical="center"/>
    </xf>
    <xf numFmtId="0" fontId="20" fillId="2" borderId="58" xfId="0" applyFont="1" applyFill="1" applyBorder="1" applyAlignment="1">
      <alignment horizontal="center" vertical="center"/>
    </xf>
    <xf numFmtId="0" fontId="20" fillId="2" borderId="55" xfId="0" applyFont="1" applyFill="1" applyBorder="1" applyAlignment="1">
      <alignment horizontal="center" vertical="center"/>
    </xf>
    <xf numFmtId="0" fontId="20" fillId="2" borderId="59" xfId="0" applyFont="1" applyFill="1" applyBorder="1" applyAlignment="1">
      <alignment horizontal="center" vertical="center"/>
    </xf>
    <xf numFmtId="0" fontId="20" fillId="5" borderId="58" xfId="0" applyFont="1" applyFill="1" applyBorder="1" applyAlignment="1">
      <alignment horizontal="center" vertical="center"/>
    </xf>
    <xf numFmtId="0" fontId="20" fillId="5" borderId="55" xfId="0" applyFont="1" applyFill="1" applyBorder="1" applyAlignment="1">
      <alignment horizontal="center" vertical="center"/>
    </xf>
    <xf numFmtId="0" fontId="20" fillId="6" borderId="55" xfId="0" applyFont="1" applyFill="1" applyBorder="1" applyAlignment="1">
      <alignment horizontal="center" vertical="center"/>
    </xf>
    <xf numFmtId="0" fontId="20" fillId="5" borderId="60" xfId="0" applyFont="1" applyFill="1" applyBorder="1" applyAlignment="1">
      <alignment horizontal="center" vertical="center"/>
    </xf>
    <xf numFmtId="0" fontId="20" fillId="5" borderId="59" xfId="0" applyFont="1" applyFill="1" applyBorder="1" applyAlignment="1">
      <alignment horizontal="center" vertical="center"/>
    </xf>
    <xf numFmtId="2" fontId="22" fillId="0" borderId="0" xfId="0" applyNumberFormat="1" applyFont="1" applyBorder="1" applyAlignment="1">
      <alignment horizontal="center" vertical="center"/>
    </xf>
    <xf numFmtId="2" fontId="22" fillId="0" borderId="5" xfId="0" applyNumberFormat="1" applyFont="1" applyBorder="1" applyAlignment="1">
      <alignment horizontal="center" vertical="center"/>
    </xf>
    <xf numFmtId="2" fontId="22" fillId="0" borderId="6" xfId="0" applyNumberFormat="1" applyFont="1" applyBorder="1" applyAlignment="1">
      <alignment horizontal="center" vertical="center"/>
    </xf>
    <xf numFmtId="0" fontId="20" fillId="4" borderId="54" xfId="0" applyFont="1" applyFill="1" applyBorder="1" applyAlignment="1">
      <alignment horizontal="center" vertical="center"/>
    </xf>
    <xf numFmtId="0" fontId="20" fillId="2" borderId="54" xfId="0" applyFont="1" applyFill="1" applyBorder="1" applyAlignment="1">
      <alignment horizontal="center" vertical="center"/>
    </xf>
    <xf numFmtId="0" fontId="20" fillId="5" borderId="54" xfId="0" applyFont="1" applyFill="1" applyBorder="1" applyAlignment="1">
      <alignment horizontal="center" vertical="center"/>
    </xf>
    <xf numFmtId="0" fontId="23" fillId="0" borderId="0" xfId="0" applyFont="1"/>
    <xf numFmtId="0" fontId="17" fillId="0" borderId="0" xfId="0" applyFont="1" applyFill="1"/>
    <xf numFmtId="0" fontId="17" fillId="0" borderId="5" xfId="0" applyFont="1" applyFill="1" applyBorder="1" applyAlignment="1">
      <alignment horizontal="center"/>
    </xf>
    <xf numFmtId="0" fontId="17" fillId="0" borderId="0" xfId="0" applyFont="1" applyFill="1" applyBorder="1" applyAlignment="1">
      <alignment horizontal="center"/>
    </xf>
    <xf numFmtId="0" fontId="17" fillId="0" borderId="6" xfId="0" applyFont="1" applyFill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0" fontId="20" fillId="4" borderId="50" xfId="0" applyFont="1" applyFill="1" applyBorder="1" applyAlignment="1">
      <alignment horizontal="center" vertical="center"/>
    </xf>
    <xf numFmtId="0" fontId="20" fillId="2" borderId="50" xfId="0" applyFont="1" applyFill="1" applyBorder="1" applyAlignment="1">
      <alignment horizontal="center" vertical="center"/>
    </xf>
    <xf numFmtId="0" fontId="20" fillId="5" borderId="50" xfId="0" applyFont="1" applyFill="1" applyBorder="1" applyAlignment="1">
      <alignment horizontal="center" vertical="center"/>
    </xf>
    <xf numFmtId="0" fontId="17" fillId="9" borderId="5" xfId="0" applyFont="1" applyFill="1" applyBorder="1" applyAlignment="1">
      <alignment horizontal="center" vertical="center"/>
    </xf>
    <xf numFmtId="0" fontId="17" fillId="0" borderId="8" xfId="0" applyFont="1" applyFill="1" applyBorder="1" applyAlignment="1">
      <alignment horizontal="center" vertical="center"/>
    </xf>
    <xf numFmtId="0" fontId="17" fillId="0" borderId="9" xfId="0" applyFont="1" applyFill="1" applyBorder="1" applyAlignment="1">
      <alignment horizontal="center" vertical="center"/>
    </xf>
    <xf numFmtId="0" fontId="17" fillId="9" borderId="0" xfId="0" applyFont="1" applyFill="1" applyBorder="1" applyAlignment="1">
      <alignment horizontal="center" vertical="center"/>
    </xf>
    <xf numFmtId="0" fontId="17" fillId="0" borderId="7" xfId="0" applyFont="1" applyFill="1" applyBorder="1" applyAlignment="1">
      <alignment horizontal="center" vertical="center"/>
    </xf>
    <xf numFmtId="0" fontId="13" fillId="0" borderId="8" xfId="0" applyFont="1" applyFill="1" applyBorder="1" applyAlignment="1">
      <alignment horizontal="center"/>
    </xf>
    <xf numFmtId="0" fontId="7" fillId="4" borderId="15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0" fontId="7" fillId="5" borderId="15" xfId="0" applyFont="1" applyFill="1" applyBorder="1" applyAlignment="1">
      <alignment horizontal="center" vertical="center"/>
    </xf>
    <xf numFmtId="0" fontId="7" fillId="5" borderId="14" xfId="0" applyFont="1" applyFill="1" applyBorder="1" applyAlignment="1">
      <alignment horizontal="center" vertical="center"/>
    </xf>
    <xf numFmtId="0" fontId="7" fillId="6" borderId="15" xfId="0" applyFont="1" applyFill="1" applyBorder="1" applyAlignment="1">
      <alignment horizontal="center" vertical="center"/>
    </xf>
    <xf numFmtId="0" fontId="7" fillId="6" borderId="14" xfId="0" applyFont="1" applyFill="1" applyBorder="1" applyAlignment="1">
      <alignment horizontal="center" vertical="center"/>
    </xf>
    <xf numFmtId="0" fontId="7" fillId="5" borderId="3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11" fillId="0" borderId="8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7" fillId="4" borderId="13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7" fillId="3" borderId="36" xfId="0" applyFont="1" applyFill="1" applyBorder="1" applyAlignment="1">
      <alignment horizontal="center" vertical="center"/>
    </xf>
    <xf numFmtId="0" fontId="7" fillId="3" borderId="37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7" fillId="3" borderId="16" xfId="0" applyFont="1" applyFill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8" fillId="0" borderId="0" xfId="0" applyFont="1"/>
    <xf numFmtId="0" fontId="8" fillId="4" borderId="0" xfId="0" applyFont="1" applyFill="1"/>
    <xf numFmtId="0" fontId="8" fillId="3" borderId="0" xfId="0" applyFont="1" applyFill="1"/>
    <xf numFmtId="0" fontId="8" fillId="6" borderId="0" xfId="0" applyFont="1" applyFill="1"/>
    <xf numFmtId="0" fontId="8" fillId="2" borderId="0" xfId="0" applyFont="1" applyFill="1"/>
    <xf numFmtId="0" fontId="19" fillId="6" borderId="36" xfId="0" applyFont="1" applyFill="1" applyBorder="1" applyAlignment="1">
      <alignment horizontal="center" vertical="center"/>
    </xf>
    <xf numFmtId="0" fontId="19" fillId="5" borderId="36" xfId="0" applyFont="1" applyFill="1" applyBorder="1" applyAlignment="1">
      <alignment horizontal="center" vertical="center"/>
    </xf>
    <xf numFmtId="0" fontId="19" fillId="5" borderId="37" xfId="0" applyFont="1" applyFill="1" applyBorder="1" applyAlignment="1">
      <alignment horizontal="center" vertical="center"/>
    </xf>
    <xf numFmtId="0" fontId="16" fillId="0" borderId="52" xfId="0" applyFont="1" applyBorder="1" applyAlignment="1">
      <alignment horizontal="center"/>
    </xf>
    <xf numFmtId="0" fontId="16" fillId="0" borderId="48" xfId="0" applyFont="1" applyBorder="1" applyAlignment="1">
      <alignment horizontal="center"/>
    </xf>
    <xf numFmtId="0" fontId="16" fillId="0" borderId="49" xfId="0" applyFont="1" applyBorder="1" applyAlignment="1">
      <alignment horizontal="center"/>
    </xf>
    <xf numFmtId="0" fontId="16" fillId="0" borderId="52" xfId="0" applyFont="1" applyBorder="1" applyAlignment="1">
      <alignment horizontal="center" vertical="center"/>
    </xf>
    <xf numFmtId="0" fontId="16" fillId="0" borderId="48" xfId="0" applyFont="1" applyBorder="1" applyAlignment="1">
      <alignment horizontal="center" vertical="center"/>
    </xf>
    <xf numFmtId="0" fontId="16" fillId="0" borderId="49" xfId="0" applyFont="1" applyBorder="1" applyAlignment="1">
      <alignment horizontal="center" vertical="center"/>
    </xf>
    <xf numFmtId="0" fontId="18" fillId="0" borderId="52" xfId="0" applyFont="1" applyFill="1" applyBorder="1" applyAlignment="1">
      <alignment horizontal="center"/>
    </xf>
    <xf numFmtId="0" fontId="18" fillId="0" borderId="48" xfId="0" applyFont="1" applyFill="1" applyBorder="1" applyAlignment="1">
      <alignment horizontal="center"/>
    </xf>
    <xf numFmtId="0" fontId="18" fillId="0" borderId="49" xfId="0" applyFont="1" applyFill="1" applyBorder="1" applyAlignment="1">
      <alignment horizontal="center"/>
    </xf>
    <xf numFmtId="0" fontId="15" fillId="3" borderId="43" xfId="0" applyFont="1" applyFill="1" applyBorder="1" applyAlignment="1">
      <alignment horizontal="center" vertical="center"/>
    </xf>
    <xf numFmtId="0" fontId="15" fillId="3" borderId="36" xfId="0" applyFont="1" applyFill="1" applyBorder="1" applyAlignment="1">
      <alignment horizontal="center" vertical="center"/>
    </xf>
    <xf numFmtId="0" fontId="15" fillId="3" borderId="37" xfId="0" applyFont="1" applyFill="1" applyBorder="1" applyAlignment="1">
      <alignment horizontal="center" vertical="center"/>
    </xf>
    <xf numFmtId="0" fontId="19" fillId="4" borderId="43" xfId="0" applyFont="1" applyFill="1" applyBorder="1" applyAlignment="1">
      <alignment horizontal="center" vertical="center"/>
    </xf>
    <xf numFmtId="0" fontId="19" fillId="4" borderId="36" xfId="0" applyFont="1" applyFill="1" applyBorder="1" applyAlignment="1">
      <alignment horizontal="center" vertical="center"/>
    </xf>
    <xf numFmtId="0" fontId="19" fillId="4" borderId="37" xfId="0" applyFont="1" applyFill="1" applyBorder="1" applyAlignment="1">
      <alignment horizontal="center" vertical="center"/>
    </xf>
    <xf numFmtId="0" fontId="19" fillId="2" borderId="43" xfId="0" applyFont="1" applyFill="1" applyBorder="1" applyAlignment="1">
      <alignment horizontal="center" vertical="center"/>
    </xf>
    <xf numFmtId="0" fontId="19" fillId="2" borderId="36" xfId="0" applyFont="1" applyFill="1" applyBorder="1" applyAlignment="1">
      <alignment horizontal="center" vertical="center"/>
    </xf>
    <xf numFmtId="0" fontId="19" fillId="2" borderId="37" xfId="0" applyFont="1" applyFill="1" applyBorder="1" applyAlignment="1">
      <alignment horizontal="center" vertical="center"/>
    </xf>
    <xf numFmtId="0" fontId="19" fillId="5" borderId="43" xfId="0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9" fillId="5" borderId="51" xfId="0" applyFont="1" applyFill="1" applyBorder="1" applyAlignment="1">
      <alignment horizontal="center" vertical="center"/>
    </xf>
    <xf numFmtId="0" fontId="19" fillId="2" borderId="51" xfId="0" applyFont="1" applyFill="1" applyBorder="1" applyAlignment="1">
      <alignment horizontal="center" vertical="center"/>
    </xf>
    <xf numFmtId="0" fontId="19" fillId="4" borderId="51" xfId="0" applyFont="1" applyFill="1" applyBorder="1" applyAlignment="1">
      <alignment horizontal="center" vertical="center"/>
    </xf>
    <xf numFmtId="0" fontId="16" fillId="0" borderId="53" xfId="0" applyFont="1" applyBorder="1" applyAlignment="1">
      <alignment horizontal="center"/>
    </xf>
    <xf numFmtId="0" fontId="16" fillId="0" borderId="53" xfId="0" applyFont="1" applyBorder="1" applyAlignment="1">
      <alignment horizontal="center" vertical="center"/>
    </xf>
    <xf numFmtId="0" fontId="18" fillId="0" borderId="53" xfId="0" applyFont="1" applyFill="1" applyBorder="1" applyAlignment="1">
      <alignment horizontal="center"/>
    </xf>
    <xf numFmtId="0" fontId="16" fillId="0" borderId="61" xfId="0" applyFont="1" applyBorder="1" applyAlignment="1">
      <alignment horizontal="center"/>
    </xf>
    <xf numFmtId="0" fontId="16" fillId="0" borderId="62" xfId="0" applyFont="1" applyBorder="1" applyAlignment="1">
      <alignment horizontal="center"/>
    </xf>
    <xf numFmtId="0" fontId="16" fillId="0" borderId="63" xfId="0" applyFont="1" applyBorder="1" applyAlignment="1">
      <alignment horizontal="center"/>
    </xf>
    <xf numFmtId="0" fontId="16" fillId="0" borderId="61" xfId="0" applyFont="1" applyBorder="1" applyAlignment="1">
      <alignment horizontal="center" vertical="center"/>
    </xf>
    <xf numFmtId="0" fontId="16" fillId="0" borderId="62" xfId="0" applyFont="1" applyBorder="1" applyAlignment="1">
      <alignment horizontal="center" vertical="center"/>
    </xf>
    <xf numFmtId="0" fontId="16" fillId="0" borderId="63" xfId="0" applyFont="1" applyBorder="1" applyAlignment="1">
      <alignment horizontal="center" vertical="center"/>
    </xf>
    <xf numFmtId="0" fontId="18" fillId="0" borderId="61" xfId="0" applyFont="1" applyFill="1" applyBorder="1" applyAlignment="1">
      <alignment horizontal="center"/>
    </xf>
    <xf numFmtId="0" fontId="18" fillId="0" borderId="62" xfId="0" applyFont="1" applyFill="1" applyBorder="1" applyAlignment="1">
      <alignment horizontal="center"/>
    </xf>
    <xf numFmtId="0" fontId="18" fillId="0" borderId="63" xfId="0" applyFont="1" applyFill="1" applyBorder="1" applyAlignment="1">
      <alignment horizontal="center"/>
    </xf>
    <xf numFmtId="0" fontId="18" fillId="0" borderId="8" xfId="0" applyFont="1" applyFill="1" applyBorder="1" applyAlignment="1">
      <alignment horizontal="center"/>
    </xf>
    <xf numFmtId="0" fontId="18" fillId="0" borderId="9" xfId="0" applyFont="1" applyFill="1" applyBorder="1" applyAlignment="1">
      <alignment horizontal="center"/>
    </xf>
    <xf numFmtId="0" fontId="19" fillId="5" borderId="31" xfId="0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/>
    </xf>
    <xf numFmtId="0" fontId="16" fillId="0" borderId="10" xfId="0" applyFont="1" applyBorder="1" applyAlignment="1">
      <alignment horizontal="center"/>
    </xf>
    <xf numFmtId="0" fontId="16" fillId="0" borderId="11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16" fillId="0" borderId="5" xfId="0" applyFont="1" applyBorder="1" applyAlignment="1">
      <alignment horizontal="center"/>
    </xf>
    <xf numFmtId="0" fontId="16" fillId="0" borderId="0" xfId="0" applyFont="1" applyBorder="1" applyAlignment="1">
      <alignment horizontal="center"/>
    </xf>
    <xf numFmtId="0" fontId="16" fillId="0" borderId="6" xfId="0" applyFont="1" applyBorder="1" applyAlignment="1">
      <alignment horizontal="center"/>
    </xf>
    <xf numFmtId="0" fontId="19" fillId="2" borderId="41" xfId="0" applyFont="1" applyFill="1" applyBorder="1" applyAlignment="1">
      <alignment horizontal="center" vertical="center"/>
    </xf>
    <xf numFmtId="0" fontId="19" fillId="2" borderId="14" xfId="0" applyFont="1" applyFill="1" applyBorder="1" applyAlignment="1">
      <alignment horizontal="center" vertical="center"/>
    </xf>
    <xf numFmtId="0" fontId="19" fillId="2" borderId="15" xfId="0" applyFont="1" applyFill="1" applyBorder="1" applyAlignment="1">
      <alignment horizontal="center" vertical="center"/>
    </xf>
    <xf numFmtId="0" fontId="19" fillId="2" borderId="16" xfId="0" applyFont="1" applyFill="1" applyBorder="1" applyAlignment="1">
      <alignment horizontal="center" vertical="center"/>
    </xf>
    <xf numFmtId="0" fontId="19" fillId="5" borderId="41" xfId="0" applyFont="1" applyFill="1" applyBorder="1" applyAlignment="1">
      <alignment horizontal="center" vertical="center"/>
    </xf>
    <xf numFmtId="0" fontId="19" fillId="5" borderId="14" xfId="0" applyFont="1" applyFill="1" applyBorder="1" applyAlignment="1">
      <alignment horizontal="center" vertical="center"/>
    </xf>
    <xf numFmtId="0" fontId="19" fillId="6" borderId="15" xfId="0" applyFont="1" applyFill="1" applyBorder="1" applyAlignment="1">
      <alignment horizontal="center" vertical="center"/>
    </xf>
    <xf numFmtId="0" fontId="19" fillId="6" borderId="14" xfId="0" applyFont="1" applyFill="1" applyBorder="1" applyAlignment="1">
      <alignment horizontal="center" vertical="center"/>
    </xf>
    <xf numFmtId="0" fontId="19" fillId="5" borderId="15" xfId="0" applyFont="1" applyFill="1" applyBorder="1" applyAlignment="1">
      <alignment horizontal="center" vertical="center"/>
    </xf>
    <xf numFmtId="0" fontId="15" fillId="3" borderId="13" xfId="0" applyFont="1" applyFill="1" applyBorder="1" applyAlignment="1">
      <alignment horizontal="center" vertical="center"/>
    </xf>
    <xf numFmtId="0" fontId="15" fillId="3" borderId="14" xfId="0" applyFont="1" applyFill="1" applyBorder="1" applyAlignment="1">
      <alignment horizontal="center" vertical="center"/>
    </xf>
    <xf numFmtId="0" fontId="19" fillId="4" borderId="15" xfId="0" applyFont="1" applyFill="1" applyBorder="1" applyAlignment="1">
      <alignment horizontal="center" vertical="center"/>
    </xf>
    <xf numFmtId="0" fontId="19" fillId="4" borderId="16" xfId="0" applyFont="1" applyFill="1" applyBorder="1" applyAlignment="1">
      <alignment horizontal="center" vertical="center"/>
    </xf>
    <xf numFmtId="0" fontId="19" fillId="4" borderId="14" xfId="0" applyFont="1" applyFill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5" fillId="0" borderId="10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9" fillId="4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C00"/>
      <color rgb="FFEBEB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995D6-D60A-6E4E-BAE4-5A945AE60FD0}">
  <dimension ref="A1:AE40"/>
  <sheetViews>
    <sheetView topLeftCell="J10" workbookViewId="0">
      <selection activeCell="A26" sqref="A26"/>
    </sheetView>
  </sheetViews>
  <sheetFormatPr baseColWidth="10" defaultRowHeight="16"/>
  <cols>
    <col min="11" max="11" width="16" customWidth="1"/>
    <col min="12" max="12" width="17" customWidth="1"/>
    <col min="13" max="13" width="15.33203125" customWidth="1"/>
  </cols>
  <sheetData>
    <row r="1" spans="1:13">
      <c r="A1" s="1" t="s">
        <v>4</v>
      </c>
      <c r="B1" s="185" t="s">
        <v>5</v>
      </c>
      <c r="C1" s="185"/>
      <c r="D1" s="185"/>
      <c r="E1" s="185"/>
      <c r="F1" s="185"/>
      <c r="G1" s="2"/>
      <c r="H1" s="2"/>
      <c r="I1" s="2"/>
      <c r="J1" s="2"/>
      <c r="K1" s="2"/>
    </row>
    <row r="2" spans="1:13" ht="21">
      <c r="A2" s="1" t="s">
        <v>6</v>
      </c>
      <c r="B2" s="185" t="s">
        <v>1</v>
      </c>
      <c r="C2" s="185"/>
      <c r="D2" s="185"/>
      <c r="E2" s="185"/>
      <c r="F2" s="185"/>
      <c r="G2" s="2"/>
      <c r="H2" s="2"/>
      <c r="I2" s="2"/>
      <c r="J2" s="3"/>
      <c r="K2" s="3"/>
    </row>
    <row r="3" spans="1:13">
      <c r="A3" s="1"/>
      <c r="B3" s="185"/>
      <c r="C3" s="185"/>
      <c r="D3" s="185"/>
      <c r="E3" s="185"/>
      <c r="F3" s="185"/>
      <c r="G3" s="2"/>
      <c r="H3" s="2"/>
      <c r="I3" s="2"/>
      <c r="J3" s="2"/>
      <c r="K3" s="2"/>
    </row>
    <row r="4" spans="1:13" ht="22" thickBot="1">
      <c r="A4" s="2"/>
      <c r="B4" s="2"/>
      <c r="C4" s="2"/>
      <c r="D4" s="2"/>
      <c r="E4" s="2"/>
      <c r="F4" s="2"/>
      <c r="G4" s="2"/>
      <c r="H4" s="2"/>
      <c r="I4" s="3"/>
      <c r="J4" s="3"/>
      <c r="K4" s="3"/>
    </row>
    <row r="5" spans="1:13" ht="26">
      <c r="B5" s="187" t="s">
        <v>7</v>
      </c>
      <c r="C5" s="188"/>
      <c r="D5" s="189"/>
      <c r="E5" s="15"/>
    </row>
    <row r="6" spans="1:13" ht="18">
      <c r="A6" t="s">
        <v>8</v>
      </c>
      <c r="B6" s="4">
        <v>248</v>
      </c>
      <c r="C6" s="5">
        <v>250</v>
      </c>
      <c r="D6" s="6">
        <v>244</v>
      </c>
    </row>
    <row r="7" spans="1:13">
      <c r="B7" s="7">
        <v>1</v>
      </c>
      <c r="C7" s="14">
        <v>958</v>
      </c>
      <c r="D7" s="8">
        <v>951</v>
      </c>
    </row>
    <row r="8" spans="1:13">
      <c r="B8" s="7">
        <v>2</v>
      </c>
      <c r="C8" s="14">
        <v>959</v>
      </c>
      <c r="D8" s="8">
        <v>952</v>
      </c>
    </row>
    <row r="9" spans="1:13">
      <c r="B9" s="7">
        <v>3</v>
      </c>
      <c r="C9" s="14">
        <v>960</v>
      </c>
      <c r="D9" s="8">
        <v>953</v>
      </c>
    </row>
    <row r="10" spans="1:13">
      <c r="B10" s="7">
        <v>4</v>
      </c>
      <c r="C10" s="14">
        <v>961</v>
      </c>
      <c r="D10" s="8" t="s">
        <v>26</v>
      </c>
    </row>
    <row r="11" spans="1:13" ht="17" thickBot="1">
      <c r="B11" s="9">
        <v>5</v>
      </c>
      <c r="C11" s="10">
        <v>962</v>
      </c>
      <c r="D11" s="11" t="s">
        <v>27</v>
      </c>
    </row>
    <row r="12" spans="1:1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M12" t="s">
        <v>20</v>
      </c>
    </row>
    <row r="13" spans="1:13" ht="21">
      <c r="A13" s="190" t="s">
        <v>13</v>
      </c>
      <c r="B13" s="190"/>
      <c r="C13" s="190"/>
      <c r="D13" s="190"/>
      <c r="E13" s="190"/>
      <c r="F13" s="190"/>
      <c r="G13" s="190"/>
      <c r="H13" s="190"/>
      <c r="I13" s="190"/>
      <c r="J13" s="190"/>
      <c r="K13" s="2"/>
      <c r="M13" s="17" t="s">
        <v>18</v>
      </c>
    </row>
    <row r="14" spans="1:13" ht="21">
      <c r="A14" s="191" t="s">
        <v>14</v>
      </c>
      <c r="B14" s="191"/>
      <c r="C14" s="191"/>
      <c r="D14" s="191"/>
      <c r="E14" s="191"/>
      <c r="F14" s="191"/>
      <c r="G14" s="191"/>
      <c r="H14" s="191"/>
      <c r="I14" s="191"/>
      <c r="J14" s="191"/>
      <c r="K14" s="2"/>
      <c r="M14" s="17"/>
    </row>
    <row r="15" spans="1:13" ht="21">
      <c r="A15" s="192" t="s">
        <v>15</v>
      </c>
      <c r="B15" s="192"/>
      <c r="C15" s="192"/>
      <c r="D15" s="192"/>
      <c r="E15" s="192"/>
      <c r="F15" s="192"/>
      <c r="G15" s="192"/>
      <c r="H15" s="192"/>
      <c r="I15" s="192"/>
      <c r="J15" s="192"/>
      <c r="K15" s="2"/>
      <c r="M15" s="17" t="s">
        <v>19</v>
      </c>
    </row>
    <row r="16" spans="1:13" ht="19">
      <c r="A16" s="193" t="s">
        <v>16</v>
      </c>
      <c r="B16" s="193"/>
      <c r="C16" s="193"/>
      <c r="D16" s="193"/>
      <c r="E16" s="193"/>
      <c r="F16" s="193"/>
      <c r="G16" s="193"/>
      <c r="H16" s="193"/>
      <c r="I16" s="193"/>
      <c r="J16" s="193"/>
      <c r="K16" s="2"/>
    </row>
    <row r="17" spans="1:31" ht="19">
      <c r="A17" s="194" t="s">
        <v>17</v>
      </c>
      <c r="B17" s="194"/>
      <c r="C17" s="194"/>
      <c r="D17" s="194"/>
      <c r="E17" s="194"/>
      <c r="F17" s="194"/>
      <c r="G17" s="194"/>
      <c r="H17" s="194"/>
      <c r="I17" s="194"/>
      <c r="J17" s="194"/>
      <c r="K17" s="2"/>
    </row>
    <row r="18" spans="1:31" ht="19">
      <c r="A18" s="16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31" ht="19">
      <c r="A19" s="16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31" ht="19">
      <c r="A20" s="16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31" ht="17" thickBo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31" ht="30" thickBot="1">
      <c r="A22" s="12" t="s">
        <v>0</v>
      </c>
      <c r="B22" s="176" t="s">
        <v>10</v>
      </c>
      <c r="C22" s="177"/>
      <c r="D22" s="177"/>
      <c r="E22" s="177"/>
      <c r="F22" s="177"/>
      <c r="G22" s="177"/>
      <c r="H22" s="177"/>
      <c r="I22" s="177"/>
      <c r="J22" s="177"/>
      <c r="K22" s="178"/>
      <c r="L22" s="176" t="s">
        <v>28</v>
      </c>
      <c r="M22" s="177"/>
      <c r="N22" s="177"/>
      <c r="O22" s="177"/>
      <c r="P22" s="177"/>
      <c r="Q22" s="177"/>
      <c r="R22" s="177"/>
      <c r="S22" s="177"/>
      <c r="T22" s="177"/>
      <c r="U22" s="178"/>
      <c r="V22" s="176" t="s">
        <v>29</v>
      </c>
      <c r="W22" s="177"/>
      <c r="X22" s="177"/>
      <c r="Y22" s="177"/>
      <c r="Z22" s="177"/>
      <c r="AA22" s="177"/>
      <c r="AB22" s="177"/>
      <c r="AC22" s="177"/>
      <c r="AD22" s="177"/>
      <c r="AE22" s="178"/>
    </row>
    <row r="23" spans="1:31">
      <c r="A23" s="13"/>
      <c r="B23" s="175">
        <v>1</v>
      </c>
      <c r="C23" s="161"/>
      <c r="D23" s="168">
        <v>2</v>
      </c>
      <c r="E23" s="169"/>
      <c r="F23" s="184">
        <v>3</v>
      </c>
      <c r="G23" s="181"/>
      <c r="H23" s="160">
        <v>4</v>
      </c>
      <c r="I23" s="161"/>
      <c r="J23" s="184">
        <v>5</v>
      </c>
      <c r="K23" s="186"/>
      <c r="L23" s="162">
        <v>958</v>
      </c>
      <c r="M23" s="163"/>
      <c r="N23" s="164">
        <v>959</v>
      </c>
      <c r="O23" s="163"/>
      <c r="P23" s="166">
        <v>960</v>
      </c>
      <c r="Q23" s="167"/>
      <c r="R23" s="164">
        <v>961</v>
      </c>
      <c r="S23" s="163"/>
      <c r="T23" s="160">
        <v>962</v>
      </c>
      <c r="U23" s="179"/>
      <c r="V23" s="180">
        <v>951</v>
      </c>
      <c r="W23" s="181"/>
      <c r="X23" s="160">
        <v>952</v>
      </c>
      <c r="Y23" s="161"/>
      <c r="Z23" s="166">
        <v>953</v>
      </c>
      <c r="AA23" s="167"/>
      <c r="AB23" s="184" t="s">
        <v>11</v>
      </c>
      <c r="AC23" s="181"/>
      <c r="AD23" s="170" t="s">
        <v>12</v>
      </c>
      <c r="AE23" s="171"/>
    </row>
    <row r="24" spans="1:31" ht="17" thickBot="1">
      <c r="A24" s="13"/>
      <c r="B24" s="30" t="s">
        <v>2</v>
      </c>
      <c r="C24" s="31" t="s">
        <v>3</v>
      </c>
      <c r="D24" s="49" t="s">
        <v>2</v>
      </c>
      <c r="E24" s="49" t="s">
        <v>3</v>
      </c>
      <c r="F24" s="18" t="s">
        <v>2</v>
      </c>
      <c r="G24" s="18" t="s">
        <v>3</v>
      </c>
      <c r="H24" s="31" t="s">
        <v>2</v>
      </c>
      <c r="I24" s="31" t="s">
        <v>3</v>
      </c>
      <c r="J24" s="18" t="s">
        <v>2</v>
      </c>
      <c r="K24" s="19" t="s">
        <v>3</v>
      </c>
      <c r="L24" s="25" t="s">
        <v>2</v>
      </c>
      <c r="M24" s="26" t="s">
        <v>3</v>
      </c>
      <c r="N24" s="26" t="s">
        <v>2</v>
      </c>
      <c r="O24" s="26" t="s">
        <v>3</v>
      </c>
      <c r="P24" s="36" t="s">
        <v>2</v>
      </c>
      <c r="Q24" s="36" t="s">
        <v>3</v>
      </c>
      <c r="R24" s="26" t="s">
        <v>2</v>
      </c>
      <c r="S24" s="26" t="s">
        <v>3</v>
      </c>
      <c r="T24" s="31" t="s">
        <v>2</v>
      </c>
      <c r="U24" s="34" t="s">
        <v>3</v>
      </c>
      <c r="V24" s="47" t="s">
        <v>2</v>
      </c>
      <c r="W24" s="18" t="s">
        <v>3</v>
      </c>
      <c r="X24" s="31" t="s">
        <v>2</v>
      </c>
      <c r="Y24" s="31" t="s">
        <v>3</v>
      </c>
      <c r="Z24" s="36" t="s">
        <v>2</v>
      </c>
      <c r="AA24" s="36" t="s">
        <v>3</v>
      </c>
      <c r="AB24" s="18" t="s">
        <v>2</v>
      </c>
      <c r="AC24" s="23" t="s">
        <v>3</v>
      </c>
      <c r="AD24" s="38" t="s">
        <v>2</v>
      </c>
      <c r="AE24" s="39" t="s">
        <v>3</v>
      </c>
    </row>
    <row r="25" spans="1:31">
      <c r="A25" s="2" t="s">
        <v>6</v>
      </c>
      <c r="B25" s="32">
        <v>2.5</v>
      </c>
      <c r="C25" s="33">
        <v>4.0999999999999996</v>
      </c>
      <c r="D25" s="50">
        <v>4.4000000000000004</v>
      </c>
      <c r="E25" s="50">
        <v>3.6</v>
      </c>
      <c r="F25" s="20">
        <v>2.9</v>
      </c>
      <c r="G25" s="20">
        <v>4</v>
      </c>
      <c r="H25" s="33">
        <v>2</v>
      </c>
      <c r="I25" s="33">
        <v>4.2</v>
      </c>
      <c r="J25" s="21">
        <v>3.5</v>
      </c>
      <c r="K25" s="22">
        <v>4</v>
      </c>
      <c r="L25" s="27">
        <v>5.5</v>
      </c>
      <c r="M25" s="28">
        <v>4.4000000000000004</v>
      </c>
      <c r="N25" s="28">
        <v>5.5</v>
      </c>
      <c r="O25" s="28">
        <v>4.7</v>
      </c>
      <c r="P25" s="37">
        <v>3.7</v>
      </c>
      <c r="Q25" s="37">
        <v>4.8</v>
      </c>
      <c r="R25" s="28">
        <v>4.8</v>
      </c>
      <c r="S25" s="29">
        <v>4.3</v>
      </c>
      <c r="T25" s="35">
        <v>3</v>
      </c>
      <c r="U25" s="35">
        <v>4</v>
      </c>
      <c r="V25" s="48">
        <v>3.2</v>
      </c>
      <c r="W25" s="20">
        <v>3</v>
      </c>
      <c r="X25" s="33">
        <v>3.1</v>
      </c>
      <c r="Y25" s="33">
        <v>3.4</v>
      </c>
      <c r="Z25" s="37">
        <v>2.7</v>
      </c>
      <c r="AA25" s="37">
        <v>5.0999999999999996</v>
      </c>
      <c r="AB25" s="20">
        <v>3.5</v>
      </c>
      <c r="AC25" s="24">
        <v>3.9</v>
      </c>
      <c r="AD25" s="40">
        <v>4.7</v>
      </c>
      <c r="AE25" s="41">
        <v>3.7</v>
      </c>
    </row>
    <row r="31" spans="1:31" ht="27" thickBot="1">
      <c r="B31" s="173" t="s">
        <v>22</v>
      </c>
      <c r="C31" s="174"/>
      <c r="D31" s="174"/>
      <c r="E31" s="174"/>
      <c r="F31" s="174"/>
      <c r="G31" s="174"/>
      <c r="H31" s="174"/>
      <c r="I31" s="174"/>
      <c r="J31" s="173" t="s">
        <v>23</v>
      </c>
      <c r="K31" s="174"/>
      <c r="L31" s="174"/>
      <c r="M31" s="174"/>
      <c r="N31" s="174"/>
      <c r="O31" s="174"/>
      <c r="P31" s="174"/>
      <c r="Q31" s="174"/>
    </row>
    <row r="32" spans="1:31">
      <c r="B32" s="180">
        <v>951</v>
      </c>
      <c r="C32" s="181"/>
      <c r="D32" s="182">
        <v>3</v>
      </c>
      <c r="E32" s="182"/>
      <c r="F32" s="182">
        <v>5</v>
      </c>
      <c r="G32" s="182"/>
      <c r="H32" s="182" t="s">
        <v>25</v>
      </c>
      <c r="I32" s="183"/>
      <c r="J32" s="175">
        <v>1</v>
      </c>
      <c r="K32" s="161"/>
      <c r="L32" s="160">
        <v>4</v>
      </c>
      <c r="M32" s="161"/>
      <c r="N32" s="160">
        <v>962</v>
      </c>
      <c r="O32" s="179"/>
      <c r="P32" s="160">
        <v>952</v>
      </c>
      <c r="Q32" s="161"/>
    </row>
    <row r="33" spans="2:19" ht="17" thickBot="1">
      <c r="B33" s="47" t="s">
        <v>2</v>
      </c>
      <c r="C33" s="18" t="s">
        <v>3</v>
      </c>
      <c r="D33" s="44" t="s">
        <v>2</v>
      </c>
      <c r="E33" s="44" t="s">
        <v>3</v>
      </c>
      <c r="F33" s="44" t="s">
        <v>2</v>
      </c>
      <c r="G33" s="44" t="s">
        <v>3</v>
      </c>
      <c r="H33" s="44" t="s">
        <v>2</v>
      </c>
      <c r="I33" s="45" t="s">
        <v>3</v>
      </c>
      <c r="J33" s="30" t="s">
        <v>2</v>
      </c>
      <c r="K33" s="31" t="s">
        <v>3</v>
      </c>
      <c r="L33" s="31" t="s">
        <v>2</v>
      </c>
      <c r="M33" s="31" t="s">
        <v>3</v>
      </c>
      <c r="N33" s="31" t="s">
        <v>2</v>
      </c>
      <c r="O33" s="34" t="s">
        <v>3</v>
      </c>
      <c r="P33" s="31" t="s">
        <v>2</v>
      </c>
      <c r="Q33" s="31" t="s">
        <v>3</v>
      </c>
    </row>
    <row r="34" spans="2:19">
      <c r="B34" s="48">
        <v>3.2</v>
      </c>
      <c r="C34" s="20">
        <v>3</v>
      </c>
      <c r="D34" s="43">
        <v>2.9</v>
      </c>
      <c r="E34" s="43">
        <v>4</v>
      </c>
      <c r="F34" s="43">
        <v>3.5</v>
      </c>
      <c r="G34" s="43">
        <v>4</v>
      </c>
      <c r="H34" s="43">
        <v>3.5</v>
      </c>
      <c r="I34" s="43">
        <v>3.9</v>
      </c>
      <c r="J34" s="32">
        <v>2.5</v>
      </c>
      <c r="K34" s="33">
        <v>4.0999999999999996</v>
      </c>
      <c r="L34" s="33">
        <v>2</v>
      </c>
      <c r="M34" s="33">
        <v>4.2</v>
      </c>
      <c r="N34" s="35">
        <v>3</v>
      </c>
      <c r="O34" s="35">
        <v>4</v>
      </c>
      <c r="P34" s="33">
        <v>3.1</v>
      </c>
      <c r="Q34" s="33">
        <v>3.4</v>
      </c>
    </row>
    <row r="37" spans="2:19" ht="27" thickBot="1">
      <c r="B37" s="172" t="s">
        <v>24</v>
      </c>
      <c r="C37" s="172"/>
      <c r="D37" s="172"/>
      <c r="E37" s="172"/>
      <c r="F37" s="172"/>
      <c r="G37" s="172"/>
      <c r="H37" s="46"/>
      <c r="I37" s="46"/>
      <c r="J37" s="159" t="s">
        <v>21</v>
      </c>
      <c r="K37" s="159"/>
      <c r="L37" s="159"/>
      <c r="M37" s="159"/>
      <c r="N37" s="159"/>
      <c r="O37" s="159"/>
      <c r="P37" s="159"/>
      <c r="Q37" s="159"/>
      <c r="R37" s="51"/>
      <c r="S37" s="51"/>
    </row>
    <row r="38" spans="2:19">
      <c r="B38" s="162">
        <v>958</v>
      </c>
      <c r="C38" s="163"/>
      <c r="D38" s="164">
        <v>959</v>
      </c>
      <c r="E38" s="163"/>
      <c r="F38" s="164">
        <v>961</v>
      </c>
      <c r="G38" s="165"/>
      <c r="J38" s="166">
        <v>960</v>
      </c>
      <c r="K38" s="167"/>
      <c r="L38" s="168">
        <v>2</v>
      </c>
      <c r="M38" s="169"/>
      <c r="N38" s="166">
        <v>953</v>
      </c>
      <c r="O38" s="167"/>
      <c r="P38" s="170" t="s">
        <v>12</v>
      </c>
      <c r="Q38" s="171"/>
    </row>
    <row r="39" spans="2:19" ht="17" thickBot="1">
      <c r="B39" s="25" t="s">
        <v>2</v>
      </c>
      <c r="C39" s="26" t="s">
        <v>3</v>
      </c>
      <c r="D39" s="26" t="s">
        <v>2</v>
      </c>
      <c r="E39" s="26" t="s">
        <v>3</v>
      </c>
      <c r="F39" s="26" t="s">
        <v>2</v>
      </c>
      <c r="G39" s="42" t="s">
        <v>3</v>
      </c>
      <c r="J39" s="36" t="s">
        <v>2</v>
      </c>
      <c r="K39" s="36" t="s">
        <v>3</v>
      </c>
      <c r="L39" s="49" t="s">
        <v>2</v>
      </c>
      <c r="M39" s="49" t="s">
        <v>3</v>
      </c>
      <c r="N39" s="36" t="s">
        <v>2</v>
      </c>
      <c r="O39" s="36" t="s">
        <v>3</v>
      </c>
      <c r="P39" s="38" t="s">
        <v>2</v>
      </c>
      <c r="Q39" s="39" t="s">
        <v>3</v>
      </c>
    </row>
    <row r="40" spans="2:19">
      <c r="B40" s="27">
        <v>5.5</v>
      </c>
      <c r="C40" s="28">
        <v>4.4000000000000004</v>
      </c>
      <c r="D40" s="28">
        <v>5.5</v>
      </c>
      <c r="E40" s="28">
        <v>4.7</v>
      </c>
      <c r="F40" s="28">
        <v>4.8</v>
      </c>
      <c r="G40" s="29">
        <v>4.3</v>
      </c>
      <c r="J40" s="37">
        <v>3.7</v>
      </c>
      <c r="K40" s="37">
        <v>4.8</v>
      </c>
      <c r="L40" s="50">
        <v>4.4000000000000004</v>
      </c>
      <c r="M40" s="50">
        <v>3.6</v>
      </c>
      <c r="N40" s="37">
        <v>2.7</v>
      </c>
      <c r="O40" s="37">
        <v>5.0999999999999996</v>
      </c>
      <c r="P40" s="40">
        <v>4.7</v>
      </c>
      <c r="Q40" s="41">
        <v>3.7</v>
      </c>
    </row>
  </sheetData>
  <mergeCells count="46">
    <mergeCell ref="B1:F1"/>
    <mergeCell ref="B2:F2"/>
    <mergeCell ref="B3:F3"/>
    <mergeCell ref="B22:K22"/>
    <mergeCell ref="B23:C23"/>
    <mergeCell ref="D23:E23"/>
    <mergeCell ref="F23:G23"/>
    <mergeCell ref="H23:I23"/>
    <mergeCell ref="J23:K23"/>
    <mergeCell ref="B5:D5"/>
    <mergeCell ref="A13:J13"/>
    <mergeCell ref="A14:J14"/>
    <mergeCell ref="A15:J15"/>
    <mergeCell ref="A16:J16"/>
    <mergeCell ref="A17:J17"/>
    <mergeCell ref="V22:AE22"/>
    <mergeCell ref="V23:W23"/>
    <mergeCell ref="X23:Y23"/>
    <mergeCell ref="Z23:AA23"/>
    <mergeCell ref="AB23:AC23"/>
    <mergeCell ref="AD23:AE23"/>
    <mergeCell ref="B31:I31"/>
    <mergeCell ref="J32:K32"/>
    <mergeCell ref="L32:M32"/>
    <mergeCell ref="J31:Q31"/>
    <mergeCell ref="L22:U22"/>
    <mergeCell ref="L23:M23"/>
    <mergeCell ref="N23:O23"/>
    <mergeCell ref="P23:Q23"/>
    <mergeCell ref="R23:S23"/>
    <mergeCell ref="T23:U23"/>
    <mergeCell ref="B32:C32"/>
    <mergeCell ref="D32:E32"/>
    <mergeCell ref="F32:G32"/>
    <mergeCell ref="N32:O32"/>
    <mergeCell ref="H32:I32"/>
    <mergeCell ref="J37:Q37"/>
    <mergeCell ref="P32:Q32"/>
    <mergeCell ref="B38:C38"/>
    <mergeCell ref="D38:E38"/>
    <mergeCell ref="F38:G38"/>
    <mergeCell ref="J38:K38"/>
    <mergeCell ref="L38:M38"/>
    <mergeCell ref="N38:O38"/>
    <mergeCell ref="P38:Q38"/>
    <mergeCell ref="B37:G3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85897-77D3-114E-B856-EDDDDDDEF631}">
  <dimension ref="A1:AI113"/>
  <sheetViews>
    <sheetView tabSelected="1" topLeftCell="I61" zoomScale="90" zoomScaleNormal="90" workbookViewId="0">
      <selection activeCell="AE87" sqref="AE87"/>
    </sheetView>
  </sheetViews>
  <sheetFormatPr baseColWidth="10" defaultRowHeight="18"/>
  <cols>
    <col min="1" max="1" width="29.5" style="54" customWidth="1"/>
    <col min="2" max="16384" width="10.83203125" style="54"/>
  </cols>
  <sheetData>
    <row r="1" spans="1:35">
      <c r="A1" s="61" t="s">
        <v>4</v>
      </c>
      <c r="B1" s="260" t="s">
        <v>5</v>
      </c>
      <c r="C1" s="260"/>
      <c r="D1" s="260"/>
      <c r="E1" s="260"/>
      <c r="F1" s="260"/>
    </row>
    <row r="2" spans="1:35">
      <c r="A2" s="61" t="s">
        <v>6</v>
      </c>
      <c r="B2" s="260" t="s">
        <v>1</v>
      </c>
      <c r="C2" s="260"/>
      <c r="D2" s="260"/>
      <c r="E2" s="260"/>
      <c r="F2" s="260"/>
    </row>
    <row r="3" spans="1:35">
      <c r="A3" s="61"/>
      <c r="B3" s="260"/>
      <c r="C3" s="260"/>
      <c r="D3" s="260"/>
      <c r="E3" s="260"/>
      <c r="F3" s="260"/>
    </row>
    <row r="4" spans="1:35" ht="19" thickBot="1">
      <c r="A4" s="62"/>
      <c r="B4" s="62"/>
      <c r="C4" s="62"/>
      <c r="D4" s="62"/>
      <c r="E4" s="62"/>
      <c r="F4" s="62"/>
    </row>
    <row r="5" spans="1:35" ht="19" thickBot="1">
      <c r="B5" s="261" t="s">
        <v>7</v>
      </c>
      <c r="C5" s="262"/>
      <c r="D5" s="262"/>
      <c r="E5" s="263"/>
    </row>
    <row r="6" spans="1:35" ht="19" thickBot="1">
      <c r="A6" s="54" t="s">
        <v>8</v>
      </c>
      <c r="B6" s="52">
        <v>248</v>
      </c>
      <c r="C6" s="53">
        <v>250</v>
      </c>
      <c r="D6" s="53">
        <v>244</v>
      </c>
      <c r="E6" s="55">
        <v>263</v>
      </c>
    </row>
    <row r="7" spans="1:35">
      <c r="B7" s="56">
        <v>951</v>
      </c>
      <c r="C7" s="57">
        <v>958</v>
      </c>
      <c r="D7" s="57">
        <v>951</v>
      </c>
      <c r="E7" s="58"/>
    </row>
    <row r="8" spans="1:35">
      <c r="B8" s="56">
        <v>3</v>
      </c>
      <c r="C8" s="57">
        <v>959</v>
      </c>
      <c r="D8" s="57">
        <v>952</v>
      </c>
      <c r="E8" s="58"/>
    </row>
    <row r="9" spans="1:35">
      <c r="B9" s="56">
        <v>5</v>
      </c>
      <c r="C9" s="57">
        <v>960</v>
      </c>
      <c r="D9" s="57">
        <v>953</v>
      </c>
      <c r="E9" s="58"/>
    </row>
    <row r="10" spans="1:35" ht="19" thickBot="1">
      <c r="B10" s="59">
        <v>78</v>
      </c>
      <c r="C10" s="60">
        <v>961</v>
      </c>
      <c r="D10" s="60" t="s">
        <v>9</v>
      </c>
      <c r="E10" s="55"/>
    </row>
    <row r="11" spans="1:35">
      <c r="A11" s="62"/>
      <c r="B11" s="62"/>
      <c r="C11" s="62"/>
      <c r="D11" s="62"/>
      <c r="E11" s="62"/>
      <c r="F11" s="62"/>
    </row>
    <row r="13" spans="1:35" ht="19" thickBot="1"/>
    <row r="14" spans="1:35" ht="19" thickBot="1">
      <c r="A14" s="63" t="s">
        <v>0</v>
      </c>
      <c r="B14" s="218" t="s">
        <v>30</v>
      </c>
      <c r="C14" s="219"/>
      <c r="D14" s="219"/>
      <c r="E14" s="219"/>
      <c r="F14" s="219"/>
      <c r="G14" s="219"/>
      <c r="H14" s="219"/>
      <c r="I14" s="220"/>
      <c r="J14" s="218" t="s">
        <v>31</v>
      </c>
      <c r="K14" s="219"/>
      <c r="L14" s="219"/>
      <c r="M14" s="219"/>
      <c r="N14" s="219"/>
      <c r="O14" s="219"/>
      <c r="P14" s="219"/>
      <c r="Q14" s="220"/>
      <c r="R14" s="219" t="s">
        <v>32</v>
      </c>
      <c r="S14" s="219"/>
      <c r="T14" s="219"/>
      <c r="U14" s="219"/>
      <c r="V14" s="219"/>
      <c r="W14" s="220"/>
      <c r="X14" s="219" t="s">
        <v>43</v>
      </c>
      <c r="Y14" s="219"/>
      <c r="Z14" s="219"/>
      <c r="AA14" s="219"/>
      <c r="AB14" s="219"/>
      <c r="AC14" s="219"/>
      <c r="AD14" s="219"/>
      <c r="AE14" s="220"/>
    </row>
    <row r="15" spans="1:35" ht="19" thickBot="1">
      <c r="A15" s="63"/>
      <c r="B15" s="240" t="s">
        <v>22</v>
      </c>
      <c r="C15" s="241"/>
      <c r="D15" s="241"/>
      <c r="E15" s="241"/>
      <c r="F15" s="241"/>
      <c r="G15" s="241"/>
      <c r="H15" s="241"/>
      <c r="I15" s="242"/>
      <c r="J15" s="243" t="s">
        <v>34</v>
      </c>
      <c r="K15" s="244"/>
      <c r="L15" s="244"/>
      <c r="M15" s="244"/>
      <c r="N15" s="244"/>
      <c r="O15" s="244"/>
      <c r="P15" s="244"/>
      <c r="Q15" s="245"/>
      <c r="R15" s="219" t="s">
        <v>24</v>
      </c>
      <c r="S15" s="219"/>
      <c r="T15" s="219"/>
      <c r="U15" s="219"/>
      <c r="V15" s="219"/>
      <c r="W15" s="220"/>
      <c r="X15" s="236" t="s">
        <v>21</v>
      </c>
      <c r="Y15" s="236"/>
      <c r="Z15" s="236"/>
      <c r="AA15" s="236"/>
      <c r="AB15" s="236"/>
      <c r="AC15" s="236"/>
      <c r="AD15" s="236"/>
      <c r="AE15" s="237"/>
    </row>
    <row r="16" spans="1:35" ht="25">
      <c r="A16" s="64"/>
      <c r="B16" s="255">
        <v>951</v>
      </c>
      <c r="C16" s="256"/>
      <c r="D16" s="208">
        <v>3</v>
      </c>
      <c r="E16" s="208"/>
      <c r="F16" s="208">
        <v>5</v>
      </c>
      <c r="G16" s="208"/>
      <c r="H16" s="208">
        <v>78</v>
      </c>
      <c r="I16" s="209"/>
      <c r="J16" s="264">
        <v>1</v>
      </c>
      <c r="K16" s="259"/>
      <c r="L16" s="257">
        <v>4</v>
      </c>
      <c r="M16" s="259"/>
      <c r="N16" s="257">
        <v>952</v>
      </c>
      <c r="O16" s="259"/>
      <c r="P16" s="257">
        <v>962</v>
      </c>
      <c r="Q16" s="258"/>
      <c r="R16" s="246">
        <v>958</v>
      </c>
      <c r="S16" s="247"/>
      <c r="T16" s="248">
        <v>959</v>
      </c>
      <c r="U16" s="247"/>
      <c r="V16" s="248">
        <v>961</v>
      </c>
      <c r="W16" s="249"/>
      <c r="X16" s="250">
        <v>960</v>
      </c>
      <c r="Y16" s="251"/>
      <c r="Z16" s="252">
        <v>2</v>
      </c>
      <c r="AA16" s="253"/>
      <c r="AB16" s="254">
        <v>953</v>
      </c>
      <c r="AC16" s="251"/>
      <c r="AD16" s="238">
        <v>79</v>
      </c>
      <c r="AE16" s="239"/>
      <c r="AF16" s="144"/>
      <c r="AG16" s="144"/>
      <c r="AH16" s="144"/>
      <c r="AI16" s="144"/>
    </row>
    <row r="17" spans="1:32" ht="20" thickBot="1">
      <c r="A17" s="64"/>
      <c r="B17" s="65" t="s">
        <v>2</v>
      </c>
      <c r="C17" s="66" t="s">
        <v>3</v>
      </c>
      <c r="D17" s="67" t="s">
        <v>2</v>
      </c>
      <c r="E17" s="67" t="s">
        <v>3</v>
      </c>
      <c r="F17" s="67" t="s">
        <v>2</v>
      </c>
      <c r="G17" s="67" t="s">
        <v>3</v>
      </c>
      <c r="H17" s="67" t="s">
        <v>2</v>
      </c>
      <c r="I17" s="68" t="s">
        <v>3</v>
      </c>
      <c r="J17" s="69" t="s">
        <v>2</v>
      </c>
      <c r="K17" s="70" t="s">
        <v>3</v>
      </c>
      <c r="L17" s="70" t="s">
        <v>2</v>
      </c>
      <c r="M17" s="70" t="s">
        <v>3</v>
      </c>
      <c r="N17" s="70" t="s">
        <v>2</v>
      </c>
      <c r="O17" s="70" t="s">
        <v>3</v>
      </c>
      <c r="P17" s="70" t="s">
        <v>2</v>
      </c>
      <c r="Q17" s="71" t="s">
        <v>3</v>
      </c>
      <c r="R17" s="76" t="s">
        <v>2</v>
      </c>
      <c r="S17" s="72" t="s">
        <v>3</v>
      </c>
      <c r="T17" s="72" t="s">
        <v>2</v>
      </c>
      <c r="U17" s="72" t="s">
        <v>3</v>
      </c>
      <c r="V17" s="72" t="s">
        <v>2</v>
      </c>
      <c r="W17" s="77" t="s">
        <v>3</v>
      </c>
      <c r="X17" s="106" t="s">
        <v>2</v>
      </c>
      <c r="Y17" s="107" t="s">
        <v>3</v>
      </c>
      <c r="Z17" s="108" t="s">
        <v>2</v>
      </c>
      <c r="AA17" s="108" t="s">
        <v>3</v>
      </c>
      <c r="AB17" s="107" t="s">
        <v>2</v>
      </c>
      <c r="AC17" s="107" t="s">
        <v>3</v>
      </c>
      <c r="AD17" s="109" t="s">
        <v>2</v>
      </c>
      <c r="AE17" s="110" t="s">
        <v>3</v>
      </c>
    </row>
    <row r="18" spans="1:32" s="89" customFormat="1" ht="19">
      <c r="A18" s="78" t="s">
        <v>6</v>
      </c>
      <c r="B18" s="90">
        <v>2.5</v>
      </c>
      <c r="C18" s="79">
        <v>6.4</v>
      </c>
      <c r="D18" s="80">
        <v>3.5</v>
      </c>
      <c r="E18" s="80">
        <v>5</v>
      </c>
      <c r="F18" s="80">
        <v>4.3</v>
      </c>
      <c r="G18" s="80">
        <v>4.8</v>
      </c>
      <c r="H18" s="80">
        <v>3.9</v>
      </c>
      <c r="I18" s="81">
        <v>4.4000000000000004</v>
      </c>
      <c r="J18" s="82">
        <v>2.9</v>
      </c>
      <c r="K18" s="83">
        <v>4.5</v>
      </c>
      <c r="L18" s="83">
        <v>2.4</v>
      </c>
      <c r="M18" s="83">
        <v>6.1</v>
      </c>
      <c r="N18" s="83">
        <v>3.7</v>
      </c>
      <c r="O18" s="83">
        <v>3.7</v>
      </c>
      <c r="P18" s="84">
        <v>3.4</v>
      </c>
      <c r="Q18" s="85">
        <v>4.7</v>
      </c>
      <c r="R18" s="86">
        <v>5.6</v>
      </c>
      <c r="S18" s="83">
        <v>5.0999999999999996</v>
      </c>
      <c r="T18" s="83">
        <v>6.8</v>
      </c>
      <c r="U18" s="83">
        <v>5.6</v>
      </c>
      <c r="V18" s="83">
        <v>5.7</v>
      </c>
      <c r="W18" s="91">
        <v>3.9</v>
      </c>
      <c r="X18" s="86">
        <v>4.5</v>
      </c>
      <c r="Y18" s="83">
        <v>6.2</v>
      </c>
      <c r="Z18" s="83">
        <v>5.2</v>
      </c>
      <c r="AA18" s="83">
        <v>4.2</v>
      </c>
      <c r="AB18" s="83">
        <v>3.6</v>
      </c>
      <c r="AC18" s="93">
        <v>4</v>
      </c>
      <c r="AD18" s="87">
        <v>5.6</v>
      </c>
      <c r="AE18" s="88">
        <v>4.5</v>
      </c>
    </row>
    <row r="19" spans="1:32">
      <c r="A19" s="54" t="s">
        <v>40</v>
      </c>
      <c r="B19" s="113">
        <v>2.5</v>
      </c>
      <c r="C19" s="112">
        <v>4.4000000000000004</v>
      </c>
      <c r="D19" s="112">
        <v>2.4</v>
      </c>
      <c r="E19" s="112">
        <v>3.1</v>
      </c>
      <c r="F19" s="112">
        <v>3.2</v>
      </c>
      <c r="G19" s="112">
        <v>3.3</v>
      </c>
      <c r="H19" s="112">
        <v>2.8</v>
      </c>
      <c r="I19" s="114">
        <v>2.7</v>
      </c>
      <c r="J19" s="98">
        <v>2</v>
      </c>
      <c r="K19" s="96">
        <v>3.5</v>
      </c>
      <c r="L19" s="105">
        <v>2.4</v>
      </c>
      <c r="M19" s="96">
        <v>3.7</v>
      </c>
      <c r="N19" s="96">
        <v>2.8</v>
      </c>
      <c r="O19" s="96">
        <v>2.6</v>
      </c>
      <c r="P19" s="96">
        <v>2.5</v>
      </c>
      <c r="Q19" s="97">
        <v>3.2</v>
      </c>
      <c r="R19" s="112">
        <v>4.8</v>
      </c>
      <c r="S19" s="112">
        <v>4.5</v>
      </c>
      <c r="T19" s="112">
        <v>5.6</v>
      </c>
      <c r="U19" s="112">
        <v>4.7</v>
      </c>
      <c r="V19" s="112">
        <v>4.3</v>
      </c>
      <c r="W19" s="114">
        <v>3.6</v>
      </c>
      <c r="X19" s="96">
        <v>3.4</v>
      </c>
      <c r="Y19" s="96">
        <v>4.2</v>
      </c>
      <c r="Z19" s="96">
        <v>3.7</v>
      </c>
      <c r="AA19" s="96">
        <v>3</v>
      </c>
      <c r="AB19" s="96">
        <v>2.6</v>
      </c>
      <c r="AC19" s="96">
        <v>2.8</v>
      </c>
      <c r="AD19" s="96">
        <v>4.0999999999999996</v>
      </c>
      <c r="AE19" s="97">
        <v>3.1</v>
      </c>
    </row>
    <row r="20" spans="1:32" s="95" customFormat="1">
      <c r="A20" s="95" t="s">
        <v>46</v>
      </c>
      <c r="B20" s="113">
        <v>1.8</v>
      </c>
      <c r="C20" s="112">
        <v>4.0999999999999996</v>
      </c>
      <c r="D20" s="112">
        <v>2.2000000000000002</v>
      </c>
      <c r="E20" s="112">
        <v>3.6</v>
      </c>
      <c r="F20" s="112">
        <v>2.8</v>
      </c>
      <c r="G20" s="112">
        <v>2.9</v>
      </c>
      <c r="H20" s="112">
        <v>2.8</v>
      </c>
      <c r="I20" s="114">
        <v>2.9</v>
      </c>
      <c r="J20" s="99">
        <v>2.2999999999999998</v>
      </c>
      <c r="K20" s="100">
        <v>3.5</v>
      </c>
      <c r="L20" s="100">
        <v>2.2000000000000002</v>
      </c>
      <c r="M20" s="100">
        <v>4</v>
      </c>
      <c r="N20" s="100">
        <v>2.7</v>
      </c>
      <c r="O20" s="100">
        <v>3.7</v>
      </c>
      <c r="P20" s="100">
        <v>3.2</v>
      </c>
      <c r="Q20" s="101">
        <v>3.4</v>
      </c>
      <c r="R20" s="112">
        <v>4.2</v>
      </c>
      <c r="S20" s="112">
        <v>4.2</v>
      </c>
      <c r="T20" s="112">
        <v>5.4</v>
      </c>
      <c r="U20" s="112">
        <v>4.4000000000000004</v>
      </c>
      <c r="V20" s="112">
        <v>4.3</v>
      </c>
      <c r="W20" s="114">
        <v>3.3</v>
      </c>
      <c r="X20" s="100">
        <v>4.0999999999999996</v>
      </c>
      <c r="Y20" s="100">
        <v>4.9000000000000004</v>
      </c>
      <c r="Z20" s="100">
        <v>4.4000000000000004</v>
      </c>
      <c r="AA20" s="100">
        <v>3.8</v>
      </c>
      <c r="AB20" s="100">
        <v>2.9</v>
      </c>
      <c r="AC20" s="100">
        <v>4.9000000000000004</v>
      </c>
      <c r="AD20" s="100">
        <v>5</v>
      </c>
      <c r="AE20" s="101">
        <v>3.9</v>
      </c>
    </row>
    <row r="21" spans="1:32">
      <c r="A21" s="54" t="s">
        <v>47</v>
      </c>
      <c r="B21" s="113">
        <v>1.7</v>
      </c>
      <c r="C21" s="112">
        <v>3.4</v>
      </c>
      <c r="D21" s="112">
        <v>2.2999999999999998</v>
      </c>
      <c r="E21" s="112">
        <v>2.6</v>
      </c>
      <c r="F21" s="112">
        <v>2.5</v>
      </c>
      <c r="G21" s="112">
        <v>2.6</v>
      </c>
      <c r="H21" s="112">
        <v>2.4</v>
      </c>
      <c r="I21" s="114">
        <v>2.7</v>
      </c>
      <c r="J21" s="98">
        <v>2</v>
      </c>
      <c r="K21" s="96">
        <v>3.2</v>
      </c>
      <c r="L21" s="96">
        <v>1.8</v>
      </c>
      <c r="M21" s="96">
        <v>3.4</v>
      </c>
      <c r="N21" s="96">
        <v>2.9</v>
      </c>
      <c r="O21" s="96">
        <v>3.2</v>
      </c>
      <c r="P21" s="96">
        <v>2.6</v>
      </c>
      <c r="Q21" s="97">
        <v>3.5</v>
      </c>
      <c r="R21" s="112">
        <v>4</v>
      </c>
      <c r="S21" s="112">
        <v>4.5999999999999996</v>
      </c>
      <c r="T21" s="112">
        <v>5.4</v>
      </c>
      <c r="U21" s="112">
        <v>4.5999999999999996</v>
      </c>
      <c r="V21" s="112">
        <v>4.3</v>
      </c>
      <c r="W21" s="114">
        <v>3.4</v>
      </c>
      <c r="X21" s="96">
        <v>3.7</v>
      </c>
      <c r="Y21" s="96">
        <v>4.5999999999999996</v>
      </c>
      <c r="Z21" s="96">
        <v>4</v>
      </c>
      <c r="AA21" s="96">
        <v>3.4</v>
      </c>
      <c r="AB21" s="96">
        <v>2.5</v>
      </c>
      <c r="AC21" s="96">
        <v>2.8</v>
      </c>
      <c r="AD21" s="96">
        <v>4.3</v>
      </c>
      <c r="AE21" s="97">
        <v>3.4</v>
      </c>
    </row>
    <row r="22" spans="1:32" s="95" customFormat="1">
      <c r="A22" s="95" t="s">
        <v>49</v>
      </c>
      <c r="B22" s="113">
        <v>1.7</v>
      </c>
      <c r="C22" s="112">
        <v>3.6</v>
      </c>
      <c r="D22" s="112">
        <v>2</v>
      </c>
      <c r="E22" s="112">
        <v>2.7</v>
      </c>
      <c r="F22" s="112">
        <v>2.4</v>
      </c>
      <c r="G22" s="112">
        <v>2.6</v>
      </c>
      <c r="H22" s="112">
        <v>2.2999999999999998</v>
      </c>
      <c r="I22" s="114">
        <v>2.4</v>
      </c>
      <c r="J22" s="99">
        <v>2.4</v>
      </c>
      <c r="K22" s="100">
        <v>3.1</v>
      </c>
      <c r="L22" s="100">
        <v>1.9</v>
      </c>
      <c r="M22" s="100">
        <v>3.8</v>
      </c>
      <c r="N22" s="100">
        <v>2.9</v>
      </c>
      <c r="O22" s="100">
        <v>3.2</v>
      </c>
      <c r="P22" s="100">
        <v>3</v>
      </c>
      <c r="Q22" s="101">
        <v>3.6</v>
      </c>
      <c r="R22" s="112">
        <v>4</v>
      </c>
      <c r="S22" s="112">
        <v>4.25</v>
      </c>
      <c r="T22" s="112">
        <v>5.7</v>
      </c>
      <c r="U22" s="112">
        <v>4.7</v>
      </c>
      <c r="V22" s="112">
        <v>4.2</v>
      </c>
      <c r="W22" s="114">
        <v>3.2</v>
      </c>
      <c r="X22" s="100">
        <v>4.4000000000000004</v>
      </c>
      <c r="Y22" s="100">
        <v>5.4</v>
      </c>
      <c r="Z22" s="100">
        <v>4.8</v>
      </c>
      <c r="AA22" s="100">
        <v>4</v>
      </c>
      <c r="AB22" s="100">
        <v>2.9</v>
      </c>
      <c r="AC22" s="100">
        <v>3.8</v>
      </c>
      <c r="AD22" s="100">
        <v>5</v>
      </c>
      <c r="AE22" s="101">
        <v>4.0999999999999996</v>
      </c>
    </row>
    <row r="23" spans="1:32">
      <c r="A23" s="54" t="s">
        <v>50</v>
      </c>
      <c r="B23" s="113">
        <v>1.6</v>
      </c>
      <c r="C23" s="112">
        <v>3.6</v>
      </c>
      <c r="D23" s="112">
        <v>1.7</v>
      </c>
      <c r="E23" s="112">
        <v>2.7</v>
      </c>
      <c r="F23" s="112">
        <v>2.2000000000000002</v>
      </c>
      <c r="G23" s="112">
        <v>2.6</v>
      </c>
      <c r="H23" s="112">
        <v>2.2999999999999998</v>
      </c>
      <c r="I23" s="114">
        <v>2.5</v>
      </c>
      <c r="J23" s="111">
        <v>1.9</v>
      </c>
      <c r="K23" s="111">
        <v>3</v>
      </c>
      <c r="L23" s="96">
        <v>2</v>
      </c>
      <c r="M23" s="96">
        <v>3.3</v>
      </c>
      <c r="N23" s="96">
        <v>2.8</v>
      </c>
      <c r="O23" s="96">
        <v>3</v>
      </c>
      <c r="P23" s="96">
        <v>2.6</v>
      </c>
      <c r="Q23" s="97">
        <v>3.2</v>
      </c>
      <c r="R23" s="113">
        <v>4.2</v>
      </c>
      <c r="S23" s="112">
        <v>4.2</v>
      </c>
      <c r="T23" s="112">
        <v>5.5</v>
      </c>
      <c r="U23" s="112">
        <v>4.5999999999999996</v>
      </c>
      <c r="V23" s="112">
        <v>4.3</v>
      </c>
      <c r="W23" s="114">
        <v>3.3</v>
      </c>
      <c r="X23" s="96">
        <v>3.7</v>
      </c>
      <c r="Y23" s="96">
        <v>4.7</v>
      </c>
      <c r="Z23" s="96">
        <v>4.3</v>
      </c>
      <c r="AA23" s="96">
        <v>3.45</v>
      </c>
      <c r="AB23" s="96">
        <v>2.6</v>
      </c>
      <c r="AC23" s="96">
        <v>4.5999999999999996</v>
      </c>
      <c r="AD23" s="96">
        <v>4.3</v>
      </c>
      <c r="AE23" s="97">
        <v>3.6</v>
      </c>
    </row>
    <row r="24" spans="1:32" s="95" customFormat="1">
      <c r="A24" s="89" t="s">
        <v>51</v>
      </c>
      <c r="B24" s="113">
        <v>1.8</v>
      </c>
      <c r="C24" s="112">
        <v>3.4</v>
      </c>
      <c r="D24" s="112">
        <v>1.9</v>
      </c>
      <c r="E24" s="112">
        <v>2.6</v>
      </c>
      <c r="F24" s="112">
        <v>2.2999999999999998</v>
      </c>
      <c r="G24" s="112">
        <v>2.75</v>
      </c>
      <c r="H24" s="112">
        <v>2.2000000000000002</v>
      </c>
      <c r="I24" s="114">
        <v>2.4500000000000002</v>
      </c>
      <c r="J24" s="113">
        <v>2</v>
      </c>
      <c r="K24" s="112">
        <v>3.1</v>
      </c>
      <c r="L24" s="112">
        <v>2.25</v>
      </c>
      <c r="M24" s="112">
        <v>3.6</v>
      </c>
      <c r="N24" s="112">
        <v>2.9</v>
      </c>
      <c r="O24" s="112">
        <v>3.2</v>
      </c>
      <c r="P24" s="112">
        <v>2.4</v>
      </c>
      <c r="Q24" s="114">
        <v>3.3</v>
      </c>
      <c r="R24" s="112">
        <v>4.3</v>
      </c>
      <c r="S24" s="112">
        <v>4.0999999999999996</v>
      </c>
      <c r="T24" s="112">
        <v>6.1</v>
      </c>
      <c r="U24" s="112">
        <v>4.7</v>
      </c>
      <c r="V24" s="112">
        <v>4.4000000000000004</v>
      </c>
      <c r="W24" s="114">
        <v>3.25</v>
      </c>
      <c r="X24" s="112">
        <v>3.8</v>
      </c>
      <c r="Y24" s="112">
        <v>4.7</v>
      </c>
      <c r="Z24" s="112">
        <v>4.2</v>
      </c>
      <c r="AA24" s="112">
        <v>3.5</v>
      </c>
      <c r="AB24" s="112">
        <v>2.75</v>
      </c>
      <c r="AC24" s="112">
        <v>4.8</v>
      </c>
      <c r="AD24" s="112">
        <v>4.5</v>
      </c>
      <c r="AE24" s="114">
        <v>3.7</v>
      </c>
    </row>
    <row r="25" spans="1:32" s="95" customFormat="1">
      <c r="A25" s="95" t="s">
        <v>52</v>
      </c>
      <c r="B25" s="113">
        <v>1.6</v>
      </c>
      <c r="C25" s="112">
        <v>3.3</v>
      </c>
      <c r="D25" s="112">
        <v>1.6</v>
      </c>
      <c r="E25" s="112">
        <v>2.4</v>
      </c>
      <c r="F25" s="112">
        <v>2.2999999999999998</v>
      </c>
      <c r="G25" s="112">
        <v>2.2999999999999998</v>
      </c>
      <c r="H25" s="112">
        <v>2</v>
      </c>
      <c r="I25" s="114">
        <v>2.1</v>
      </c>
      <c r="J25" s="99">
        <v>2</v>
      </c>
      <c r="K25" s="100">
        <v>3.1</v>
      </c>
      <c r="L25" s="100">
        <v>1.8</v>
      </c>
      <c r="M25" s="100">
        <v>3.6</v>
      </c>
      <c r="N25" s="100">
        <v>2.96</v>
      </c>
      <c r="O25" s="100">
        <v>3.2</v>
      </c>
      <c r="P25" s="100">
        <v>2.8</v>
      </c>
      <c r="Q25" s="101">
        <v>3.2</v>
      </c>
      <c r="R25" s="112">
        <v>3.76</v>
      </c>
      <c r="S25" s="112">
        <v>4</v>
      </c>
      <c r="T25" s="112">
        <v>5.2</v>
      </c>
      <c r="U25" s="112">
        <v>4.5999999999999996</v>
      </c>
      <c r="V25" s="112">
        <v>4.3</v>
      </c>
      <c r="W25" s="114">
        <v>3</v>
      </c>
      <c r="X25" s="100">
        <v>4.3</v>
      </c>
      <c r="Y25" s="100">
        <v>5.3</v>
      </c>
      <c r="Z25" s="100">
        <v>4.9000000000000004</v>
      </c>
      <c r="AA25" s="100">
        <v>4.0999999999999996</v>
      </c>
      <c r="AB25" s="100">
        <v>2.8</v>
      </c>
      <c r="AC25" s="100">
        <v>3</v>
      </c>
      <c r="AD25" s="100">
        <v>4.9000000000000004</v>
      </c>
      <c r="AE25" s="101">
        <v>3.9</v>
      </c>
    </row>
    <row r="26" spans="1:32">
      <c r="A26" s="54" t="s">
        <v>54</v>
      </c>
      <c r="B26" s="146">
        <v>1.6</v>
      </c>
      <c r="C26" s="147">
        <v>3.2</v>
      </c>
      <c r="D26" s="147">
        <v>1.6</v>
      </c>
      <c r="E26" s="147">
        <v>2.4</v>
      </c>
      <c r="F26" s="147">
        <v>2.1</v>
      </c>
      <c r="G26" s="147">
        <v>2.2999999999999998</v>
      </c>
      <c r="H26" s="147">
        <v>1.9</v>
      </c>
      <c r="I26" s="148">
        <v>2</v>
      </c>
      <c r="J26" s="147">
        <v>1.6</v>
      </c>
      <c r="K26" s="147">
        <v>2.5</v>
      </c>
      <c r="L26" s="147">
        <v>1.6</v>
      </c>
      <c r="M26" s="147">
        <v>3.2</v>
      </c>
      <c r="N26" s="147">
        <v>2.7</v>
      </c>
      <c r="O26" s="147">
        <v>3.2</v>
      </c>
      <c r="P26" s="147">
        <v>2.5</v>
      </c>
      <c r="Q26" s="148">
        <v>3.2</v>
      </c>
      <c r="R26" s="147">
        <v>3.9</v>
      </c>
      <c r="S26" s="147">
        <v>3.8</v>
      </c>
      <c r="T26" s="147">
        <v>6.1</v>
      </c>
      <c r="U26" s="147">
        <v>5</v>
      </c>
      <c r="V26" s="147">
        <v>4.3</v>
      </c>
      <c r="W26" s="148">
        <v>3</v>
      </c>
      <c r="X26" s="147">
        <v>4</v>
      </c>
      <c r="Y26" s="147">
        <v>5.0999999999999996</v>
      </c>
      <c r="Z26" s="147">
        <v>4.5999999999999996</v>
      </c>
      <c r="AA26" s="147">
        <v>3.6</v>
      </c>
      <c r="AB26" s="147">
        <v>2.4</v>
      </c>
      <c r="AC26" s="147">
        <v>2.7</v>
      </c>
      <c r="AD26" s="147">
        <v>4.3</v>
      </c>
      <c r="AE26" s="148">
        <v>3.5</v>
      </c>
    </row>
    <row r="27" spans="1:32">
      <c r="A27" s="95" t="s">
        <v>55</v>
      </c>
      <c r="B27" s="154">
        <v>1.6</v>
      </c>
      <c r="C27" s="112">
        <v>3</v>
      </c>
      <c r="D27" s="112">
        <v>1.6</v>
      </c>
      <c r="E27" s="112">
        <v>2.2999999999999998</v>
      </c>
      <c r="F27" s="112">
        <v>2.2000000000000002</v>
      </c>
      <c r="G27" s="112">
        <v>2.1</v>
      </c>
      <c r="H27" s="112">
        <v>2.1</v>
      </c>
      <c r="I27" s="114">
        <v>2.2000000000000002</v>
      </c>
      <c r="J27" s="99">
        <v>2.2000000000000002</v>
      </c>
      <c r="K27" s="100">
        <v>2.8</v>
      </c>
      <c r="L27" s="100">
        <v>1.8</v>
      </c>
      <c r="M27" s="100">
        <v>3.6</v>
      </c>
      <c r="N27" s="100">
        <v>3.1</v>
      </c>
      <c r="O27" s="100">
        <v>3.6</v>
      </c>
      <c r="P27" s="100">
        <v>2.7</v>
      </c>
      <c r="Q27" s="101">
        <v>3.5</v>
      </c>
      <c r="R27" s="112">
        <v>3.65</v>
      </c>
      <c r="S27" s="112">
        <v>3.67</v>
      </c>
      <c r="T27" s="112">
        <v>6.1</v>
      </c>
      <c r="U27" s="112">
        <v>4.8</v>
      </c>
      <c r="V27" s="112">
        <v>4.5999999999999996</v>
      </c>
      <c r="W27" s="114">
        <v>3.1</v>
      </c>
      <c r="X27" s="100">
        <v>4.7</v>
      </c>
      <c r="Y27" s="100">
        <v>5.9</v>
      </c>
      <c r="Z27" s="100">
        <v>5.9</v>
      </c>
      <c r="AA27" s="100">
        <v>4.2</v>
      </c>
      <c r="AB27" s="100">
        <v>2.7</v>
      </c>
      <c r="AC27" s="100">
        <v>4</v>
      </c>
      <c r="AD27" s="100">
        <v>5.0999999999999996</v>
      </c>
      <c r="AE27" s="101">
        <v>4.5</v>
      </c>
    </row>
    <row r="28" spans="1:32">
      <c r="A28" s="54" t="s">
        <v>58</v>
      </c>
      <c r="B28" s="154">
        <v>1.6</v>
      </c>
      <c r="C28" s="96">
        <v>3</v>
      </c>
      <c r="D28" s="96">
        <v>1.2</v>
      </c>
      <c r="E28" s="96">
        <v>2.4</v>
      </c>
      <c r="F28" s="96">
        <v>2</v>
      </c>
      <c r="G28" s="96">
        <v>2.2000000000000002</v>
      </c>
      <c r="H28" s="96">
        <v>1.9</v>
      </c>
      <c r="I28" s="97">
        <v>1.9</v>
      </c>
      <c r="J28" s="98">
        <v>1.8</v>
      </c>
      <c r="K28" s="96">
        <v>2.5</v>
      </c>
      <c r="L28" s="96">
        <v>1.6</v>
      </c>
      <c r="M28" s="96">
        <v>3.4</v>
      </c>
      <c r="N28" s="96">
        <v>2.5</v>
      </c>
      <c r="O28" s="96">
        <v>3.1</v>
      </c>
      <c r="P28" s="96">
        <v>2.1</v>
      </c>
      <c r="Q28" s="97">
        <v>2.8</v>
      </c>
      <c r="R28" s="96">
        <v>4.5</v>
      </c>
      <c r="S28" s="96">
        <v>4.0999999999999996</v>
      </c>
      <c r="T28" s="96">
        <v>6.7</v>
      </c>
      <c r="U28" s="96">
        <v>5</v>
      </c>
      <c r="V28" s="96">
        <v>4.8</v>
      </c>
      <c r="W28" s="97">
        <v>3.4</v>
      </c>
      <c r="X28" s="96">
        <v>4.5</v>
      </c>
      <c r="Y28" s="96">
        <v>3</v>
      </c>
      <c r="Z28" s="96">
        <v>5</v>
      </c>
      <c r="AA28" s="96">
        <v>3.7</v>
      </c>
      <c r="AB28" s="96">
        <v>2.6</v>
      </c>
      <c r="AC28" s="96">
        <v>2.7</v>
      </c>
      <c r="AD28" s="96">
        <v>4.5</v>
      </c>
      <c r="AE28" s="97">
        <v>3.8</v>
      </c>
    </row>
    <row r="29" spans="1:32">
      <c r="A29" s="95" t="s">
        <v>59</v>
      </c>
      <c r="B29" s="154">
        <v>1.6</v>
      </c>
      <c r="C29" s="96">
        <v>3.3</v>
      </c>
      <c r="D29" s="96">
        <v>1.3</v>
      </c>
      <c r="E29" s="96">
        <v>2.4</v>
      </c>
      <c r="F29" s="96">
        <v>2.1</v>
      </c>
      <c r="G29" s="96">
        <v>2.2999999999999998</v>
      </c>
      <c r="H29" s="96">
        <v>2</v>
      </c>
      <c r="I29" s="97">
        <v>2</v>
      </c>
      <c r="J29" s="99">
        <v>1.86</v>
      </c>
      <c r="K29" s="100">
        <v>1.6</v>
      </c>
      <c r="L29" s="100">
        <v>2</v>
      </c>
      <c r="M29" s="100">
        <v>3.75</v>
      </c>
      <c r="N29" s="100">
        <v>3.2</v>
      </c>
      <c r="O29" s="100">
        <v>3.85</v>
      </c>
      <c r="P29" s="100">
        <v>2.6</v>
      </c>
      <c r="Q29" s="101">
        <v>3.3</v>
      </c>
      <c r="R29" s="96">
        <v>4.5</v>
      </c>
      <c r="S29" s="96">
        <v>4</v>
      </c>
      <c r="T29" s="96">
        <v>7.1</v>
      </c>
      <c r="U29" s="96">
        <v>5.3</v>
      </c>
      <c r="V29" s="96">
        <v>5.0999999999999996</v>
      </c>
      <c r="W29" s="97">
        <v>3.4</v>
      </c>
      <c r="X29" s="100">
        <v>4.7</v>
      </c>
      <c r="Y29" s="100">
        <v>6.2</v>
      </c>
      <c r="Z29" s="100">
        <v>6.3</v>
      </c>
      <c r="AA29" s="100">
        <v>4.5</v>
      </c>
      <c r="AB29" s="100">
        <v>2.7</v>
      </c>
      <c r="AC29" s="100">
        <v>2.8</v>
      </c>
      <c r="AD29" s="100">
        <v>5.26</v>
      </c>
      <c r="AE29" s="101">
        <v>4.2</v>
      </c>
    </row>
    <row r="30" spans="1:32">
      <c r="A30" s="89" t="s">
        <v>60</v>
      </c>
      <c r="B30" s="154">
        <v>1.6</v>
      </c>
      <c r="C30" s="96">
        <v>3.4</v>
      </c>
      <c r="D30" s="96">
        <v>1.2</v>
      </c>
      <c r="E30" s="96">
        <v>2.5</v>
      </c>
      <c r="F30" s="96">
        <v>2.1</v>
      </c>
      <c r="G30" s="96">
        <v>2.2000000000000002</v>
      </c>
      <c r="H30" s="96">
        <v>2.16</v>
      </c>
      <c r="I30" s="97">
        <v>2.2000000000000002</v>
      </c>
      <c r="J30" s="113">
        <v>1.65</v>
      </c>
      <c r="K30" s="112">
        <v>2.7</v>
      </c>
      <c r="L30" s="112">
        <v>1.65</v>
      </c>
      <c r="M30" s="112">
        <v>3.25</v>
      </c>
      <c r="N30" s="112">
        <v>2.57</v>
      </c>
      <c r="O30" s="112">
        <v>3.3</v>
      </c>
      <c r="P30" s="112">
        <v>2.2000000000000002</v>
      </c>
      <c r="Q30" s="114">
        <v>2.87</v>
      </c>
      <c r="R30" s="96">
        <v>4.45</v>
      </c>
      <c r="S30" s="96">
        <v>4.5999999999999996</v>
      </c>
      <c r="T30" s="112">
        <v>7.5</v>
      </c>
      <c r="U30" s="96">
        <v>5.3</v>
      </c>
      <c r="V30" s="96">
        <v>5.4</v>
      </c>
      <c r="W30" s="97">
        <v>3.6</v>
      </c>
      <c r="X30" s="112">
        <v>4.0999999999999996</v>
      </c>
      <c r="Y30" s="112">
        <v>5.6</v>
      </c>
      <c r="Z30" s="112">
        <v>5.9</v>
      </c>
      <c r="AA30" s="112">
        <v>4</v>
      </c>
      <c r="AB30" s="112">
        <v>1.2</v>
      </c>
      <c r="AC30" s="112">
        <v>2.65</v>
      </c>
      <c r="AD30" s="112">
        <v>4.5999999999999996</v>
      </c>
      <c r="AE30" s="114">
        <v>3.6</v>
      </c>
      <c r="AF30" s="89"/>
    </row>
    <row r="31" spans="1:32">
      <c r="A31" s="95" t="s">
        <v>61</v>
      </c>
      <c r="B31" s="154">
        <v>1.6</v>
      </c>
      <c r="C31" s="96">
        <v>3.8</v>
      </c>
      <c r="D31" s="157">
        <v>1.2</v>
      </c>
      <c r="E31" s="96">
        <v>2.6</v>
      </c>
      <c r="F31" s="96">
        <v>2.2000000000000002</v>
      </c>
      <c r="G31" s="96">
        <v>2.2000000000000002</v>
      </c>
      <c r="H31" s="96">
        <v>2.4</v>
      </c>
      <c r="I31" s="97">
        <v>2.1</v>
      </c>
      <c r="J31" s="99">
        <v>2</v>
      </c>
      <c r="K31" s="100">
        <v>2.7</v>
      </c>
      <c r="L31" s="100">
        <v>1.8</v>
      </c>
      <c r="M31" s="100">
        <v>3.85</v>
      </c>
      <c r="N31" s="100">
        <v>3.4</v>
      </c>
      <c r="O31" s="100">
        <v>4.0999999999999996</v>
      </c>
      <c r="P31" s="100">
        <v>2.6</v>
      </c>
      <c r="Q31" s="101">
        <v>3.4</v>
      </c>
      <c r="R31" s="112">
        <v>4.4000000000000004</v>
      </c>
      <c r="S31" s="96">
        <v>4.5</v>
      </c>
      <c r="T31" s="96">
        <v>8.3000000000000007</v>
      </c>
      <c r="U31" s="96">
        <v>5.45</v>
      </c>
      <c r="V31" s="96">
        <v>5.8</v>
      </c>
      <c r="W31" s="97">
        <v>4</v>
      </c>
      <c r="X31" s="100">
        <v>4.7</v>
      </c>
      <c r="Y31" s="100">
        <v>7.9</v>
      </c>
      <c r="Z31" s="100">
        <v>6.84</v>
      </c>
      <c r="AA31" s="100">
        <v>4.5999999999999996</v>
      </c>
      <c r="AB31" s="100">
        <v>2.8</v>
      </c>
      <c r="AC31" s="100">
        <v>3</v>
      </c>
      <c r="AD31" s="100">
        <v>5.3</v>
      </c>
      <c r="AE31" s="101">
        <v>4</v>
      </c>
      <c r="AF31" s="89"/>
    </row>
    <row r="32" spans="1:32">
      <c r="A32" s="89" t="s">
        <v>62</v>
      </c>
      <c r="B32" s="154">
        <v>1.6</v>
      </c>
      <c r="C32" s="96">
        <v>3.8</v>
      </c>
      <c r="D32" s="157">
        <v>1.2</v>
      </c>
      <c r="E32" s="96">
        <v>2.5</v>
      </c>
      <c r="F32" s="96">
        <v>2.2000000000000002</v>
      </c>
      <c r="G32" s="96">
        <v>2.2999999999999998</v>
      </c>
      <c r="H32" s="96">
        <v>2.1</v>
      </c>
      <c r="I32" s="97">
        <v>2.25</v>
      </c>
      <c r="J32" s="113">
        <v>1.7</v>
      </c>
      <c r="K32" s="112">
        <v>2.4</v>
      </c>
      <c r="L32" s="112">
        <v>1.5</v>
      </c>
      <c r="M32" s="112">
        <v>3.6</v>
      </c>
      <c r="N32" s="112">
        <v>2.9</v>
      </c>
      <c r="O32" s="112">
        <v>3.85</v>
      </c>
      <c r="P32" s="112">
        <v>2.4</v>
      </c>
      <c r="Q32" s="114">
        <v>3.3</v>
      </c>
      <c r="R32" s="112">
        <v>4.5999999999999996</v>
      </c>
      <c r="S32" s="96">
        <v>4.5999999999999996</v>
      </c>
      <c r="T32" s="96">
        <v>9.4</v>
      </c>
      <c r="U32" s="96">
        <v>6.3</v>
      </c>
      <c r="V32" s="96">
        <v>6</v>
      </c>
      <c r="W32" s="97">
        <v>4.0999999999999996</v>
      </c>
      <c r="X32" s="112">
        <v>4.4000000000000004</v>
      </c>
      <c r="Y32" s="112">
        <v>6.1</v>
      </c>
      <c r="Z32" s="112">
        <v>7</v>
      </c>
      <c r="AA32" s="112">
        <v>4.4000000000000004</v>
      </c>
      <c r="AB32" s="112">
        <v>2.6</v>
      </c>
      <c r="AC32" s="112">
        <v>4</v>
      </c>
      <c r="AD32" s="112">
        <v>4.8</v>
      </c>
      <c r="AE32" s="114">
        <v>3.7</v>
      </c>
      <c r="AF32" s="89"/>
    </row>
    <row r="33" spans="1:32">
      <c r="A33" s="89"/>
      <c r="B33" s="154"/>
      <c r="C33" s="96"/>
      <c r="D33" s="157"/>
      <c r="E33" s="96"/>
      <c r="F33" s="96"/>
      <c r="G33" s="96"/>
      <c r="H33" s="96"/>
      <c r="I33" s="97"/>
      <c r="J33" s="113"/>
      <c r="K33" s="112"/>
      <c r="L33" s="112"/>
      <c r="M33" s="112"/>
      <c r="N33" s="112"/>
      <c r="O33" s="112"/>
      <c r="P33" s="112"/>
      <c r="Q33" s="114"/>
      <c r="R33" s="112"/>
      <c r="S33" s="96"/>
      <c r="T33" s="96"/>
      <c r="U33" s="96"/>
      <c r="V33" s="96"/>
      <c r="W33" s="97"/>
      <c r="X33" s="112"/>
      <c r="Y33" s="112"/>
      <c r="Z33" s="112"/>
      <c r="AA33" s="112"/>
      <c r="AB33" s="112"/>
      <c r="AC33" s="112"/>
      <c r="AD33" s="112"/>
      <c r="AE33" s="114"/>
      <c r="AF33" s="89"/>
    </row>
    <row r="34" spans="1:32">
      <c r="A34" s="89"/>
      <c r="B34" s="154"/>
      <c r="C34" s="96"/>
      <c r="D34" s="157"/>
      <c r="E34" s="96"/>
      <c r="F34" s="96"/>
      <c r="G34" s="96"/>
      <c r="H34" s="96"/>
      <c r="I34" s="97"/>
      <c r="J34" s="113"/>
      <c r="K34" s="112"/>
      <c r="L34" s="112"/>
      <c r="M34" s="112"/>
      <c r="N34" s="112"/>
      <c r="O34" s="112"/>
      <c r="P34" s="112"/>
      <c r="Q34" s="114"/>
      <c r="R34" s="112"/>
      <c r="S34" s="96"/>
      <c r="T34" s="96"/>
      <c r="U34" s="96"/>
      <c r="V34" s="96"/>
      <c r="W34" s="97"/>
      <c r="X34" s="112"/>
      <c r="Y34" s="112"/>
      <c r="Z34" s="112"/>
      <c r="AA34" s="112"/>
      <c r="AB34" s="112"/>
      <c r="AC34" s="112"/>
      <c r="AD34" s="112"/>
      <c r="AE34" s="114"/>
      <c r="AF34" s="89"/>
    </row>
    <row r="35" spans="1:32" ht="19" thickBot="1">
      <c r="B35" s="102"/>
      <c r="C35" s="103"/>
      <c r="D35" s="103"/>
      <c r="E35" s="103"/>
      <c r="F35" s="103"/>
      <c r="G35" s="103"/>
      <c r="H35" s="103"/>
      <c r="I35" s="104"/>
      <c r="J35" s="158"/>
      <c r="K35" s="155"/>
      <c r="L35" s="155"/>
      <c r="M35" s="155"/>
      <c r="N35" s="155"/>
      <c r="O35" s="155"/>
      <c r="P35" s="155"/>
      <c r="Q35" s="156"/>
      <c r="R35" s="103"/>
      <c r="S35" s="103"/>
      <c r="T35" s="103"/>
      <c r="U35" s="103"/>
      <c r="V35" s="103"/>
      <c r="W35" s="104"/>
      <c r="X35" s="155"/>
      <c r="Y35" s="155"/>
      <c r="Z35" s="155"/>
      <c r="AA35" s="155"/>
      <c r="AB35" s="155"/>
      <c r="AC35" s="155"/>
      <c r="AD35" s="155"/>
      <c r="AE35" s="156"/>
      <c r="AF35" s="89"/>
    </row>
    <row r="36" spans="1:32">
      <c r="X36" s="111"/>
      <c r="Y36" s="111"/>
      <c r="Z36" s="111"/>
      <c r="AA36" s="111"/>
      <c r="AB36" s="111"/>
      <c r="AC36" s="111"/>
      <c r="AD36" s="111"/>
      <c r="AE36" s="111"/>
    </row>
    <row r="37" spans="1:32">
      <c r="B37" s="94"/>
      <c r="C37" s="54" t="s">
        <v>41</v>
      </c>
      <c r="X37" s="111"/>
      <c r="Y37" s="111"/>
      <c r="Z37" s="111"/>
      <c r="AA37" s="111"/>
      <c r="AB37" s="111"/>
      <c r="AC37" s="111"/>
      <c r="AD37" s="111"/>
      <c r="AE37" s="111"/>
    </row>
    <row r="39" spans="1:32">
      <c r="B39" s="92"/>
      <c r="C39" s="54" t="s">
        <v>33</v>
      </c>
    </row>
    <row r="42" spans="1:32">
      <c r="B42" s="95"/>
      <c r="C42" s="54" t="s">
        <v>48</v>
      </c>
    </row>
    <row r="43" spans="1:32" ht="19" thickBot="1"/>
    <row r="44" spans="1:32" ht="19" thickBot="1">
      <c r="A44" s="217" t="s">
        <v>42</v>
      </c>
      <c r="B44" s="218" t="s">
        <v>30</v>
      </c>
      <c r="C44" s="219"/>
      <c r="D44" s="219"/>
      <c r="E44" s="219"/>
      <c r="F44" s="219"/>
      <c r="G44" s="219"/>
      <c r="H44" s="219"/>
      <c r="I44" s="220"/>
      <c r="J44" s="219" t="s">
        <v>31</v>
      </c>
      <c r="K44" s="219"/>
      <c r="L44" s="219"/>
      <c r="M44" s="219"/>
      <c r="N44" s="219"/>
      <c r="O44" s="219"/>
      <c r="P44" s="219"/>
      <c r="Q44" s="220"/>
      <c r="R44" s="219" t="s">
        <v>32</v>
      </c>
      <c r="S44" s="219"/>
      <c r="T44" s="219"/>
      <c r="U44" s="219"/>
      <c r="V44" s="219"/>
      <c r="W44" s="220"/>
      <c r="X44" s="219" t="s">
        <v>43</v>
      </c>
      <c r="Y44" s="219"/>
      <c r="Z44" s="219"/>
      <c r="AA44" s="219"/>
      <c r="AB44" s="219"/>
      <c r="AC44" s="219"/>
      <c r="AD44" s="219"/>
      <c r="AE44" s="220"/>
    </row>
    <row r="45" spans="1:32" ht="19" thickBot="1">
      <c r="A45" s="217"/>
      <c r="B45" s="227" t="s">
        <v>22</v>
      </c>
      <c r="C45" s="228"/>
      <c r="D45" s="228"/>
      <c r="E45" s="228"/>
      <c r="F45" s="228"/>
      <c r="G45" s="228"/>
      <c r="H45" s="228"/>
      <c r="I45" s="229"/>
      <c r="J45" s="227" t="s">
        <v>34</v>
      </c>
      <c r="K45" s="228"/>
      <c r="L45" s="228"/>
      <c r="M45" s="228"/>
      <c r="N45" s="228"/>
      <c r="O45" s="228"/>
      <c r="P45" s="228"/>
      <c r="Q45" s="229"/>
      <c r="R45" s="230" t="s">
        <v>24</v>
      </c>
      <c r="S45" s="231"/>
      <c r="T45" s="231"/>
      <c r="U45" s="231"/>
      <c r="V45" s="231"/>
      <c r="W45" s="232"/>
      <c r="X45" s="233" t="s">
        <v>21</v>
      </c>
      <c r="Y45" s="234"/>
      <c r="Z45" s="234"/>
      <c r="AA45" s="234"/>
      <c r="AB45" s="234"/>
      <c r="AC45" s="234"/>
      <c r="AD45" s="234"/>
      <c r="AE45" s="235"/>
    </row>
    <row r="46" spans="1:32" ht="19">
      <c r="A46" s="64"/>
      <c r="B46" s="207">
        <v>951</v>
      </c>
      <c r="C46" s="208"/>
      <c r="D46" s="208">
        <v>3</v>
      </c>
      <c r="E46" s="208"/>
      <c r="F46" s="208">
        <v>5</v>
      </c>
      <c r="G46" s="208"/>
      <c r="H46" s="208">
        <v>78</v>
      </c>
      <c r="I46" s="209"/>
      <c r="J46" s="210">
        <v>1</v>
      </c>
      <c r="K46" s="211"/>
      <c r="L46" s="211">
        <v>4</v>
      </c>
      <c r="M46" s="211"/>
      <c r="N46" s="211">
        <v>952</v>
      </c>
      <c r="O46" s="211"/>
      <c r="P46" s="211">
        <v>962</v>
      </c>
      <c r="Q46" s="212"/>
      <c r="R46" s="213">
        <v>958</v>
      </c>
      <c r="S46" s="214"/>
      <c r="T46" s="214">
        <v>959</v>
      </c>
      <c r="U46" s="214"/>
      <c r="V46" s="214">
        <v>961</v>
      </c>
      <c r="W46" s="215"/>
      <c r="X46" s="216">
        <v>960</v>
      </c>
      <c r="Y46" s="196"/>
      <c r="Z46" s="195">
        <v>2</v>
      </c>
      <c r="AA46" s="195"/>
      <c r="AB46" s="196">
        <v>953</v>
      </c>
      <c r="AC46" s="196"/>
      <c r="AD46" s="196">
        <v>79</v>
      </c>
      <c r="AE46" s="197"/>
    </row>
    <row r="47" spans="1:32" ht="20" thickBot="1">
      <c r="A47" s="64"/>
      <c r="B47" s="115" t="s">
        <v>2</v>
      </c>
      <c r="C47" s="67" t="s">
        <v>3</v>
      </c>
      <c r="D47" s="67" t="s">
        <v>2</v>
      </c>
      <c r="E47" s="67" t="s">
        <v>3</v>
      </c>
      <c r="F47" s="67" t="s">
        <v>2</v>
      </c>
      <c r="G47" s="67" t="s">
        <v>3</v>
      </c>
      <c r="H47" s="67" t="s">
        <v>2</v>
      </c>
      <c r="I47" s="68" t="s">
        <v>3</v>
      </c>
      <c r="J47" s="151" t="s">
        <v>2</v>
      </c>
      <c r="K47" s="116" t="s">
        <v>3</v>
      </c>
      <c r="L47" s="116" t="s">
        <v>2</v>
      </c>
      <c r="M47" s="116" t="s">
        <v>3</v>
      </c>
      <c r="N47" s="116" t="s">
        <v>2</v>
      </c>
      <c r="O47" s="116" t="s">
        <v>3</v>
      </c>
      <c r="P47" s="116" t="s">
        <v>2</v>
      </c>
      <c r="Q47" s="117" t="s">
        <v>3</v>
      </c>
      <c r="R47" s="152" t="s">
        <v>2</v>
      </c>
      <c r="S47" s="118" t="s">
        <v>3</v>
      </c>
      <c r="T47" s="118" t="s">
        <v>2</v>
      </c>
      <c r="U47" s="118" t="s">
        <v>3</v>
      </c>
      <c r="V47" s="118" t="s">
        <v>2</v>
      </c>
      <c r="W47" s="119" t="s">
        <v>3</v>
      </c>
      <c r="X47" s="153" t="s">
        <v>2</v>
      </c>
      <c r="Y47" s="120" t="s">
        <v>3</v>
      </c>
      <c r="Z47" s="121" t="s">
        <v>2</v>
      </c>
      <c r="AA47" s="121" t="s">
        <v>3</v>
      </c>
      <c r="AB47" s="120" t="s">
        <v>2</v>
      </c>
      <c r="AC47" s="120" t="s">
        <v>3</v>
      </c>
      <c r="AD47" s="120" t="s">
        <v>2</v>
      </c>
      <c r="AE47" s="122" t="s">
        <v>3</v>
      </c>
    </row>
    <row r="48" spans="1:32" s="89" customFormat="1">
      <c r="A48" s="78" t="s">
        <v>6</v>
      </c>
      <c r="B48" s="113">
        <f t="shared" ref="B48:AE48" si="0">B18-0.7</f>
        <v>1.8</v>
      </c>
      <c r="C48" s="112">
        <f t="shared" si="0"/>
        <v>5.7</v>
      </c>
      <c r="D48" s="112">
        <f t="shared" si="0"/>
        <v>2.8</v>
      </c>
      <c r="E48" s="112">
        <f t="shared" si="0"/>
        <v>4.3</v>
      </c>
      <c r="F48" s="112">
        <f t="shared" si="0"/>
        <v>3.5999999999999996</v>
      </c>
      <c r="G48" s="112">
        <f t="shared" si="0"/>
        <v>4.0999999999999996</v>
      </c>
      <c r="H48" s="112">
        <f t="shared" si="0"/>
        <v>3.2</v>
      </c>
      <c r="I48" s="114">
        <f t="shared" si="0"/>
        <v>3.7</v>
      </c>
      <c r="J48" s="113">
        <f t="shared" si="0"/>
        <v>2.2000000000000002</v>
      </c>
      <c r="K48" s="112">
        <f t="shared" si="0"/>
        <v>3.8</v>
      </c>
      <c r="L48" s="112">
        <f t="shared" si="0"/>
        <v>1.7</v>
      </c>
      <c r="M48" s="112">
        <f t="shared" si="0"/>
        <v>5.3999999999999995</v>
      </c>
      <c r="N48" s="112">
        <f t="shared" si="0"/>
        <v>3</v>
      </c>
      <c r="O48" s="112">
        <f t="shared" si="0"/>
        <v>3</v>
      </c>
      <c r="P48" s="112">
        <f t="shared" si="0"/>
        <v>2.7</v>
      </c>
      <c r="Q48" s="114">
        <f t="shared" si="0"/>
        <v>4</v>
      </c>
      <c r="R48" s="113">
        <f t="shared" si="0"/>
        <v>4.8999999999999995</v>
      </c>
      <c r="S48" s="112">
        <f t="shared" si="0"/>
        <v>4.3999999999999995</v>
      </c>
      <c r="T48" s="112">
        <f t="shared" si="0"/>
        <v>6.1</v>
      </c>
      <c r="U48" s="112">
        <f t="shared" si="0"/>
        <v>4.8999999999999995</v>
      </c>
      <c r="V48" s="112">
        <f t="shared" si="0"/>
        <v>5</v>
      </c>
      <c r="W48" s="114">
        <f t="shared" si="0"/>
        <v>3.2</v>
      </c>
      <c r="X48" s="113">
        <f t="shared" si="0"/>
        <v>3.8</v>
      </c>
      <c r="Y48" s="112">
        <f t="shared" si="0"/>
        <v>5.5</v>
      </c>
      <c r="Z48" s="112">
        <f t="shared" si="0"/>
        <v>4.5</v>
      </c>
      <c r="AA48" s="112">
        <f t="shared" si="0"/>
        <v>3.5</v>
      </c>
      <c r="AB48" s="112">
        <f t="shared" si="0"/>
        <v>2.9000000000000004</v>
      </c>
      <c r="AC48" s="112">
        <f t="shared" si="0"/>
        <v>3.3</v>
      </c>
      <c r="AD48" s="112">
        <f t="shared" si="0"/>
        <v>4.8999999999999995</v>
      </c>
      <c r="AE48" s="114">
        <f t="shared" si="0"/>
        <v>3.8</v>
      </c>
    </row>
    <row r="49" spans="1:31" s="89" customFormat="1">
      <c r="A49" s="89" t="s">
        <v>40</v>
      </c>
      <c r="B49" s="113">
        <f t="shared" ref="B49:AE49" si="1">B19-0.7</f>
        <v>1.8</v>
      </c>
      <c r="C49" s="112">
        <f t="shared" si="1"/>
        <v>3.7</v>
      </c>
      <c r="D49" s="112">
        <f t="shared" si="1"/>
        <v>1.7</v>
      </c>
      <c r="E49" s="112">
        <f t="shared" si="1"/>
        <v>2.4000000000000004</v>
      </c>
      <c r="F49" s="112">
        <f t="shared" si="1"/>
        <v>2.5</v>
      </c>
      <c r="G49" s="112">
        <f t="shared" si="1"/>
        <v>2.5999999999999996</v>
      </c>
      <c r="H49" s="112">
        <f t="shared" si="1"/>
        <v>2.0999999999999996</v>
      </c>
      <c r="I49" s="114">
        <f t="shared" si="1"/>
        <v>2</v>
      </c>
      <c r="J49" s="113">
        <f t="shared" si="1"/>
        <v>1.3</v>
      </c>
      <c r="K49" s="112">
        <f t="shared" si="1"/>
        <v>2.8</v>
      </c>
      <c r="L49" s="112">
        <f t="shared" si="1"/>
        <v>1.7</v>
      </c>
      <c r="M49" s="112">
        <f t="shared" si="1"/>
        <v>3</v>
      </c>
      <c r="N49" s="112">
        <f t="shared" si="1"/>
        <v>2.0999999999999996</v>
      </c>
      <c r="O49" s="112">
        <f t="shared" si="1"/>
        <v>1.9000000000000001</v>
      </c>
      <c r="P49" s="112">
        <f t="shared" si="1"/>
        <v>1.8</v>
      </c>
      <c r="Q49" s="114">
        <f t="shared" si="1"/>
        <v>2.5</v>
      </c>
      <c r="R49" s="113">
        <f t="shared" si="1"/>
        <v>4.0999999999999996</v>
      </c>
      <c r="S49" s="112">
        <f t="shared" si="1"/>
        <v>3.8</v>
      </c>
      <c r="T49" s="112">
        <f t="shared" si="1"/>
        <v>4.8999999999999995</v>
      </c>
      <c r="U49" s="112">
        <f t="shared" si="1"/>
        <v>4</v>
      </c>
      <c r="V49" s="112">
        <f t="shared" si="1"/>
        <v>3.5999999999999996</v>
      </c>
      <c r="W49" s="114">
        <f t="shared" si="1"/>
        <v>2.9000000000000004</v>
      </c>
      <c r="X49" s="113">
        <f t="shared" si="1"/>
        <v>2.7</v>
      </c>
      <c r="Y49" s="112">
        <f t="shared" si="1"/>
        <v>3.5</v>
      </c>
      <c r="Z49" s="112">
        <f t="shared" si="1"/>
        <v>3</v>
      </c>
      <c r="AA49" s="112">
        <f t="shared" si="1"/>
        <v>2.2999999999999998</v>
      </c>
      <c r="AB49" s="112">
        <f t="shared" si="1"/>
        <v>1.9000000000000001</v>
      </c>
      <c r="AC49" s="112">
        <f t="shared" si="1"/>
        <v>2.0999999999999996</v>
      </c>
      <c r="AD49" s="112">
        <f t="shared" si="1"/>
        <v>3.3999999999999995</v>
      </c>
      <c r="AE49" s="114">
        <f t="shared" si="1"/>
        <v>2.4000000000000004</v>
      </c>
    </row>
    <row r="50" spans="1:31" s="89" customFormat="1">
      <c r="A50" s="89" t="s">
        <v>46</v>
      </c>
      <c r="B50" s="113">
        <f t="shared" ref="B50:AE50" si="2">B20-0.7</f>
        <v>1.1000000000000001</v>
      </c>
      <c r="C50" s="112">
        <f t="shared" si="2"/>
        <v>3.3999999999999995</v>
      </c>
      <c r="D50" s="112">
        <f t="shared" si="2"/>
        <v>1.5000000000000002</v>
      </c>
      <c r="E50" s="112">
        <f t="shared" si="2"/>
        <v>2.9000000000000004</v>
      </c>
      <c r="F50" s="112">
        <f t="shared" si="2"/>
        <v>2.0999999999999996</v>
      </c>
      <c r="G50" s="112">
        <f t="shared" si="2"/>
        <v>2.2000000000000002</v>
      </c>
      <c r="H50" s="112">
        <f t="shared" si="2"/>
        <v>2.0999999999999996</v>
      </c>
      <c r="I50" s="114">
        <f t="shared" si="2"/>
        <v>2.2000000000000002</v>
      </c>
      <c r="J50" s="113">
        <f t="shared" si="2"/>
        <v>1.5999999999999999</v>
      </c>
      <c r="K50" s="112">
        <f t="shared" si="2"/>
        <v>2.8</v>
      </c>
      <c r="L50" s="112">
        <f t="shared" si="2"/>
        <v>1.5000000000000002</v>
      </c>
      <c r="M50" s="112">
        <f t="shared" si="2"/>
        <v>3.3</v>
      </c>
      <c r="N50" s="112">
        <f t="shared" si="2"/>
        <v>2</v>
      </c>
      <c r="O50" s="112">
        <f t="shared" si="2"/>
        <v>3</v>
      </c>
      <c r="P50" s="112">
        <f t="shared" si="2"/>
        <v>2.5</v>
      </c>
      <c r="Q50" s="114">
        <f t="shared" si="2"/>
        <v>2.7</v>
      </c>
      <c r="R50" s="113">
        <f t="shared" si="2"/>
        <v>3.5</v>
      </c>
      <c r="S50" s="112">
        <f t="shared" si="2"/>
        <v>3.5</v>
      </c>
      <c r="T50" s="112">
        <f t="shared" si="2"/>
        <v>4.7</v>
      </c>
      <c r="U50" s="112">
        <f t="shared" si="2"/>
        <v>3.7</v>
      </c>
      <c r="V50" s="112">
        <f t="shared" si="2"/>
        <v>3.5999999999999996</v>
      </c>
      <c r="W50" s="114">
        <f t="shared" si="2"/>
        <v>2.5999999999999996</v>
      </c>
      <c r="X50" s="113">
        <f t="shared" si="2"/>
        <v>3.3999999999999995</v>
      </c>
      <c r="Y50" s="112">
        <f t="shared" si="2"/>
        <v>4.2</v>
      </c>
      <c r="Z50" s="112">
        <f t="shared" si="2"/>
        <v>3.7</v>
      </c>
      <c r="AA50" s="112">
        <f t="shared" si="2"/>
        <v>3.0999999999999996</v>
      </c>
      <c r="AB50" s="112">
        <f t="shared" si="2"/>
        <v>2.2000000000000002</v>
      </c>
      <c r="AC50" s="112">
        <f t="shared" si="2"/>
        <v>4.2</v>
      </c>
      <c r="AD50" s="112">
        <f t="shared" si="2"/>
        <v>4.3</v>
      </c>
      <c r="AE50" s="114">
        <f t="shared" si="2"/>
        <v>3.2</v>
      </c>
    </row>
    <row r="51" spans="1:31" s="89" customFormat="1">
      <c r="A51" s="54" t="s">
        <v>47</v>
      </c>
      <c r="B51" s="113">
        <f t="shared" ref="B51:AE51" si="3">B21-0.7</f>
        <v>1</v>
      </c>
      <c r="C51" s="112">
        <f t="shared" si="3"/>
        <v>2.7</v>
      </c>
      <c r="D51" s="112">
        <f t="shared" si="3"/>
        <v>1.5999999999999999</v>
      </c>
      <c r="E51" s="112">
        <f t="shared" si="3"/>
        <v>1.9000000000000001</v>
      </c>
      <c r="F51" s="112">
        <f t="shared" si="3"/>
        <v>1.8</v>
      </c>
      <c r="G51" s="112">
        <f t="shared" si="3"/>
        <v>1.9000000000000001</v>
      </c>
      <c r="H51" s="112">
        <f t="shared" si="3"/>
        <v>1.7</v>
      </c>
      <c r="I51" s="114">
        <f t="shared" si="3"/>
        <v>2</v>
      </c>
      <c r="J51" s="113">
        <f t="shared" si="3"/>
        <v>1.3</v>
      </c>
      <c r="K51" s="112">
        <f t="shared" si="3"/>
        <v>2.5</v>
      </c>
      <c r="L51" s="112">
        <f t="shared" si="3"/>
        <v>1.1000000000000001</v>
      </c>
      <c r="M51" s="112">
        <f t="shared" si="3"/>
        <v>2.7</v>
      </c>
      <c r="N51" s="112">
        <f t="shared" si="3"/>
        <v>2.2000000000000002</v>
      </c>
      <c r="O51" s="112">
        <f t="shared" si="3"/>
        <v>2.5</v>
      </c>
      <c r="P51" s="112">
        <f t="shared" si="3"/>
        <v>1.9000000000000001</v>
      </c>
      <c r="Q51" s="114">
        <f t="shared" si="3"/>
        <v>2.8</v>
      </c>
      <c r="R51" s="113">
        <f t="shared" si="3"/>
        <v>3.3</v>
      </c>
      <c r="S51" s="112">
        <f t="shared" si="3"/>
        <v>3.8999999999999995</v>
      </c>
      <c r="T51" s="112">
        <f t="shared" si="3"/>
        <v>4.7</v>
      </c>
      <c r="U51" s="112">
        <f t="shared" si="3"/>
        <v>3.8999999999999995</v>
      </c>
      <c r="V51" s="112">
        <f t="shared" si="3"/>
        <v>3.5999999999999996</v>
      </c>
      <c r="W51" s="114">
        <f t="shared" si="3"/>
        <v>2.7</v>
      </c>
      <c r="X51" s="113">
        <f t="shared" si="3"/>
        <v>3</v>
      </c>
      <c r="Y51" s="112">
        <f t="shared" si="3"/>
        <v>3.8999999999999995</v>
      </c>
      <c r="Z51" s="112">
        <f t="shared" si="3"/>
        <v>3.3</v>
      </c>
      <c r="AA51" s="112">
        <f t="shared" si="3"/>
        <v>2.7</v>
      </c>
      <c r="AB51" s="112">
        <f t="shared" si="3"/>
        <v>1.8</v>
      </c>
      <c r="AC51" s="112">
        <f t="shared" si="3"/>
        <v>2.0999999999999996</v>
      </c>
      <c r="AD51" s="112">
        <f t="shared" si="3"/>
        <v>3.5999999999999996</v>
      </c>
      <c r="AE51" s="114">
        <f t="shared" si="3"/>
        <v>2.7</v>
      </c>
    </row>
    <row r="52" spans="1:31" s="89" customFormat="1">
      <c r="A52" s="89" t="s">
        <v>49</v>
      </c>
      <c r="B52" s="113">
        <f t="shared" ref="B52:AE52" si="4">B22-0.7</f>
        <v>1</v>
      </c>
      <c r="C52" s="112">
        <f t="shared" si="4"/>
        <v>2.9000000000000004</v>
      </c>
      <c r="D52" s="112">
        <f t="shared" si="4"/>
        <v>1.3</v>
      </c>
      <c r="E52" s="112">
        <f t="shared" si="4"/>
        <v>2</v>
      </c>
      <c r="F52" s="112">
        <f t="shared" si="4"/>
        <v>1.7</v>
      </c>
      <c r="G52" s="112">
        <f t="shared" si="4"/>
        <v>1.9000000000000001</v>
      </c>
      <c r="H52" s="112">
        <f t="shared" si="4"/>
        <v>1.5999999999999999</v>
      </c>
      <c r="I52" s="114">
        <f t="shared" si="4"/>
        <v>1.7</v>
      </c>
      <c r="J52" s="113">
        <f t="shared" si="4"/>
        <v>1.7</v>
      </c>
      <c r="K52" s="112">
        <f t="shared" si="4"/>
        <v>2.4000000000000004</v>
      </c>
      <c r="L52" s="112">
        <f t="shared" si="4"/>
        <v>1.2</v>
      </c>
      <c r="M52" s="112">
        <f t="shared" si="4"/>
        <v>3.0999999999999996</v>
      </c>
      <c r="N52" s="112">
        <f t="shared" si="4"/>
        <v>2.2000000000000002</v>
      </c>
      <c r="O52" s="112">
        <f t="shared" si="4"/>
        <v>2.5</v>
      </c>
      <c r="P52" s="112">
        <f t="shared" si="4"/>
        <v>2.2999999999999998</v>
      </c>
      <c r="Q52" s="114">
        <f t="shared" si="4"/>
        <v>2.9000000000000004</v>
      </c>
      <c r="R52" s="113">
        <f t="shared" si="4"/>
        <v>3.3</v>
      </c>
      <c r="S52" s="112">
        <f t="shared" si="4"/>
        <v>3.55</v>
      </c>
      <c r="T52" s="112">
        <f t="shared" si="4"/>
        <v>5</v>
      </c>
      <c r="U52" s="112">
        <f t="shared" si="4"/>
        <v>4</v>
      </c>
      <c r="V52" s="112">
        <f t="shared" si="4"/>
        <v>3.5</v>
      </c>
      <c r="W52" s="114">
        <f t="shared" si="4"/>
        <v>2.5</v>
      </c>
      <c r="X52" s="113">
        <f t="shared" si="4"/>
        <v>3.7</v>
      </c>
      <c r="Y52" s="112">
        <f t="shared" si="4"/>
        <v>4.7</v>
      </c>
      <c r="Z52" s="112">
        <f t="shared" si="4"/>
        <v>4.0999999999999996</v>
      </c>
      <c r="AA52" s="112">
        <f t="shared" si="4"/>
        <v>3.3</v>
      </c>
      <c r="AB52" s="112">
        <f t="shared" si="4"/>
        <v>2.2000000000000002</v>
      </c>
      <c r="AC52" s="112">
        <f t="shared" si="4"/>
        <v>3.0999999999999996</v>
      </c>
      <c r="AD52" s="112">
        <f t="shared" si="4"/>
        <v>4.3</v>
      </c>
      <c r="AE52" s="114">
        <f t="shared" si="4"/>
        <v>3.3999999999999995</v>
      </c>
    </row>
    <row r="53" spans="1:31" s="89" customFormat="1">
      <c r="A53" s="54" t="s">
        <v>50</v>
      </c>
      <c r="B53" s="113">
        <f t="shared" ref="B53:AE53" si="5">B23-0.7</f>
        <v>0.90000000000000013</v>
      </c>
      <c r="C53" s="112">
        <f t="shared" si="5"/>
        <v>2.9000000000000004</v>
      </c>
      <c r="D53" s="112">
        <f t="shared" si="5"/>
        <v>1</v>
      </c>
      <c r="E53" s="112">
        <f t="shared" si="5"/>
        <v>2</v>
      </c>
      <c r="F53" s="112">
        <f t="shared" si="5"/>
        <v>1.5000000000000002</v>
      </c>
      <c r="G53" s="112">
        <f t="shared" si="5"/>
        <v>1.9000000000000001</v>
      </c>
      <c r="H53" s="112">
        <f t="shared" si="5"/>
        <v>1.5999999999999999</v>
      </c>
      <c r="I53" s="114">
        <f t="shared" si="5"/>
        <v>1.8</v>
      </c>
      <c r="J53" s="113">
        <f t="shared" si="5"/>
        <v>1.2</v>
      </c>
      <c r="K53" s="112">
        <f t="shared" si="5"/>
        <v>2.2999999999999998</v>
      </c>
      <c r="L53" s="112">
        <f t="shared" si="5"/>
        <v>1.3</v>
      </c>
      <c r="M53" s="112">
        <f t="shared" si="5"/>
        <v>2.5999999999999996</v>
      </c>
      <c r="N53" s="112">
        <f t="shared" si="5"/>
        <v>2.0999999999999996</v>
      </c>
      <c r="O53" s="112">
        <f t="shared" si="5"/>
        <v>2.2999999999999998</v>
      </c>
      <c r="P53" s="112">
        <f t="shared" si="5"/>
        <v>1.9000000000000001</v>
      </c>
      <c r="Q53" s="114">
        <f t="shared" si="5"/>
        <v>2.5</v>
      </c>
      <c r="R53" s="113">
        <f t="shared" si="5"/>
        <v>3.5</v>
      </c>
      <c r="S53" s="112">
        <f t="shared" si="5"/>
        <v>3.5</v>
      </c>
      <c r="T53" s="112">
        <f t="shared" si="5"/>
        <v>4.8</v>
      </c>
      <c r="U53" s="112">
        <f t="shared" si="5"/>
        <v>3.8999999999999995</v>
      </c>
      <c r="V53" s="112">
        <f t="shared" si="5"/>
        <v>3.5999999999999996</v>
      </c>
      <c r="W53" s="114">
        <f t="shared" si="5"/>
        <v>2.5999999999999996</v>
      </c>
      <c r="X53" s="113">
        <f t="shared" si="5"/>
        <v>3</v>
      </c>
      <c r="Y53" s="112">
        <f t="shared" si="5"/>
        <v>4</v>
      </c>
      <c r="Z53" s="112">
        <f t="shared" si="5"/>
        <v>3.5999999999999996</v>
      </c>
      <c r="AA53" s="112">
        <f t="shared" si="5"/>
        <v>2.75</v>
      </c>
      <c r="AB53" s="112">
        <f t="shared" si="5"/>
        <v>1.9000000000000001</v>
      </c>
      <c r="AC53" s="112">
        <f t="shared" si="5"/>
        <v>3.8999999999999995</v>
      </c>
      <c r="AD53" s="112">
        <f t="shared" si="5"/>
        <v>3.5999999999999996</v>
      </c>
      <c r="AE53" s="114">
        <f t="shared" si="5"/>
        <v>2.9000000000000004</v>
      </c>
    </row>
    <row r="54" spans="1:31" s="89" customFormat="1">
      <c r="A54" s="89" t="s">
        <v>51</v>
      </c>
      <c r="B54" s="113">
        <f t="shared" ref="B54:AE54" si="6">B24-0.7</f>
        <v>1.1000000000000001</v>
      </c>
      <c r="C54" s="112">
        <f t="shared" si="6"/>
        <v>2.7</v>
      </c>
      <c r="D54" s="112">
        <f t="shared" si="6"/>
        <v>1.2</v>
      </c>
      <c r="E54" s="112">
        <f t="shared" si="6"/>
        <v>1.9000000000000001</v>
      </c>
      <c r="F54" s="112">
        <f t="shared" si="6"/>
        <v>1.5999999999999999</v>
      </c>
      <c r="G54" s="112">
        <f t="shared" si="6"/>
        <v>2.0499999999999998</v>
      </c>
      <c r="H54" s="112">
        <f t="shared" si="6"/>
        <v>1.5000000000000002</v>
      </c>
      <c r="I54" s="114">
        <f t="shared" si="6"/>
        <v>1.7500000000000002</v>
      </c>
      <c r="J54" s="113">
        <f t="shared" si="6"/>
        <v>1.3</v>
      </c>
      <c r="K54" s="112">
        <f t="shared" si="6"/>
        <v>2.4000000000000004</v>
      </c>
      <c r="L54" s="112">
        <f t="shared" si="6"/>
        <v>1.55</v>
      </c>
      <c r="M54" s="112">
        <f t="shared" si="6"/>
        <v>2.9000000000000004</v>
      </c>
      <c r="N54" s="112">
        <f t="shared" si="6"/>
        <v>2.2000000000000002</v>
      </c>
      <c r="O54" s="112">
        <f t="shared" si="6"/>
        <v>2.5</v>
      </c>
      <c r="P54" s="112">
        <f t="shared" si="6"/>
        <v>1.7</v>
      </c>
      <c r="Q54" s="114">
        <f t="shared" si="6"/>
        <v>2.5999999999999996</v>
      </c>
      <c r="R54" s="113">
        <f t="shared" si="6"/>
        <v>3.5999999999999996</v>
      </c>
      <c r="S54" s="112">
        <f t="shared" si="6"/>
        <v>3.3999999999999995</v>
      </c>
      <c r="T54" s="112">
        <f t="shared" si="6"/>
        <v>5.3999999999999995</v>
      </c>
      <c r="U54" s="112">
        <f t="shared" si="6"/>
        <v>4</v>
      </c>
      <c r="V54" s="112">
        <f t="shared" si="6"/>
        <v>3.7</v>
      </c>
      <c r="W54" s="114">
        <f t="shared" si="6"/>
        <v>2.5499999999999998</v>
      </c>
      <c r="X54" s="113">
        <f t="shared" si="6"/>
        <v>3.0999999999999996</v>
      </c>
      <c r="Y54" s="112">
        <f t="shared" si="6"/>
        <v>4</v>
      </c>
      <c r="Z54" s="112">
        <f t="shared" si="6"/>
        <v>3.5</v>
      </c>
      <c r="AA54" s="112">
        <f t="shared" si="6"/>
        <v>2.8</v>
      </c>
      <c r="AB54" s="112">
        <f t="shared" si="6"/>
        <v>2.0499999999999998</v>
      </c>
      <c r="AC54" s="112">
        <f t="shared" si="6"/>
        <v>4.0999999999999996</v>
      </c>
      <c r="AD54" s="112">
        <f t="shared" si="6"/>
        <v>3.8</v>
      </c>
      <c r="AE54" s="114">
        <f t="shared" si="6"/>
        <v>3</v>
      </c>
    </row>
    <row r="55" spans="1:31" s="89" customFormat="1">
      <c r="A55" s="89" t="s">
        <v>52</v>
      </c>
      <c r="B55" s="113">
        <f t="shared" ref="B55:AE55" si="7">B25-0.7</f>
        <v>0.90000000000000013</v>
      </c>
      <c r="C55" s="112">
        <f t="shared" si="7"/>
        <v>2.5999999999999996</v>
      </c>
      <c r="D55" s="112">
        <f t="shared" si="7"/>
        <v>0.90000000000000013</v>
      </c>
      <c r="E55" s="112">
        <f t="shared" si="7"/>
        <v>1.7</v>
      </c>
      <c r="F55" s="112">
        <f t="shared" si="7"/>
        <v>1.5999999999999999</v>
      </c>
      <c r="G55" s="112">
        <f t="shared" si="7"/>
        <v>1.5999999999999999</v>
      </c>
      <c r="H55" s="112">
        <f t="shared" si="7"/>
        <v>1.3</v>
      </c>
      <c r="I55" s="114">
        <f t="shared" si="7"/>
        <v>1.4000000000000001</v>
      </c>
      <c r="J55" s="113">
        <f t="shared" si="7"/>
        <v>1.3</v>
      </c>
      <c r="K55" s="112">
        <f t="shared" si="7"/>
        <v>2.4000000000000004</v>
      </c>
      <c r="L55" s="112">
        <f t="shared" si="7"/>
        <v>1.1000000000000001</v>
      </c>
      <c r="M55" s="112">
        <f t="shared" si="7"/>
        <v>2.9000000000000004</v>
      </c>
      <c r="N55" s="112">
        <f t="shared" si="7"/>
        <v>2.2599999999999998</v>
      </c>
      <c r="O55" s="112">
        <f t="shared" si="7"/>
        <v>2.5</v>
      </c>
      <c r="P55" s="112">
        <f t="shared" si="7"/>
        <v>2.0999999999999996</v>
      </c>
      <c r="Q55" s="114">
        <f t="shared" si="7"/>
        <v>2.5</v>
      </c>
      <c r="R55" s="113">
        <f t="shared" si="7"/>
        <v>3.0599999999999996</v>
      </c>
      <c r="S55" s="112">
        <f t="shared" si="7"/>
        <v>3.3</v>
      </c>
      <c r="T55" s="112">
        <f t="shared" si="7"/>
        <v>4.5</v>
      </c>
      <c r="U55" s="112">
        <f t="shared" si="7"/>
        <v>3.8999999999999995</v>
      </c>
      <c r="V55" s="112">
        <f t="shared" si="7"/>
        <v>3.5999999999999996</v>
      </c>
      <c r="W55" s="114">
        <f t="shared" si="7"/>
        <v>2.2999999999999998</v>
      </c>
      <c r="X55" s="113">
        <f t="shared" si="7"/>
        <v>3.5999999999999996</v>
      </c>
      <c r="Y55" s="112">
        <f t="shared" si="7"/>
        <v>4.5999999999999996</v>
      </c>
      <c r="Z55" s="112">
        <f t="shared" si="7"/>
        <v>4.2</v>
      </c>
      <c r="AA55" s="112">
        <f t="shared" si="7"/>
        <v>3.3999999999999995</v>
      </c>
      <c r="AB55" s="112">
        <f t="shared" si="7"/>
        <v>2.0999999999999996</v>
      </c>
      <c r="AC55" s="112">
        <f t="shared" si="7"/>
        <v>2.2999999999999998</v>
      </c>
      <c r="AD55" s="112">
        <f t="shared" si="7"/>
        <v>4.2</v>
      </c>
      <c r="AE55" s="114">
        <f t="shared" si="7"/>
        <v>3.2</v>
      </c>
    </row>
    <row r="56" spans="1:31" s="145" customFormat="1">
      <c r="A56" s="89" t="s">
        <v>53</v>
      </c>
      <c r="B56" s="113">
        <f t="shared" ref="B56:AE56" si="8">B26-0.7</f>
        <v>0.90000000000000013</v>
      </c>
      <c r="C56" s="112">
        <f t="shared" si="8"/>
        <v>2.5</v>
      </c>
      <c r="D56" s="112">
        <f t="shared" si="8"/>
        <v>0.90000000000000013</v>
      </c>
      <c r="E56" s="112">
        <f t="shared" si="8"/>
        <v>1.7</v>
      </c>
      <c r="F56" s="112">
        <f t="shared" si="8"/>
        <v>1.4000000000000001</v>
      </c>
      <c r="G56" s="112">
        <f t="shared" si="8"/>
        <v>1.5999999999999999</v>
      </c>
      <c r="H56" s="112">
        <f t="shared" si="8"/>
        <v>1.2</v>
      </c>
      <c r="I56" s="114">
        <f t="shared" si="8"/>
        <v>1.3</v>
      </c>
      <c r="J56" s="113">
        <f t="shared" si="8"/>
        <v>0.90000000000000013</v>
      </c>
      <c r="K56" s="112">
        <f t="shared" si="8"/>
        <v>1.8</v>
      </c>
      <c r="L56" s="112">
        <f t="shared" si="8"/>
        <v>0.90000000000000013</v>
      </c>
      <c r="M56" s="112">
        <f t="shared" si="8"/>
        <v>2.5</v>
      </c>
      <c r="N56" s="112">
        <f t="shared" si="8"/>
        <v>2</v>
      </c>
      <c r="O56" s="112">
        <f t="shared" si="8"/>
        <v>2.5</v>
      </c>
      <c r="P56" s="112">
        <f t="shared" si="8"/>
        <v>1.8</v>
      </c>
      <c r="Q56" s="114">
        <f t="shared" si="8"/>
        <v>2.5</v>
      </c>
      <c r="R56" s="113">
        <f t="shared" si="8"/>
        <v>3.2</v>
      </c>
      <c r="S56" s="112">
        <f t="shared" si="8"/>
        <v>3.0999999999999996</v>
      </c>
      <c r="T56" s="112">
        <f t="shared" si="8"/>
        <v>5.3999999999999995</v>
      </c>
      <c r="U56" s="112">
        <f t="shared" si="8"/>
        <v>4.3</v>
      </c>
      <c r="V56" s="112">
        <f t="shared" si="8"/>
        <v>3.5999999999999996</v>
      </c>
      <c r="W56" s="114">
        <f t="shared" si="8"/>
        <v>2.2999999999999998</v>
      </c>
      <c r="X56" s="113">
        <f t="shared" si="8"/>
        <v>3.3</v>
      </c>
      <c r="Y56" s="112">
        <f t="shared" si="8"/>
        <v>4.3999999999999995</v>
      </c>
      <c r="Z56" s="112">
        <f t="shared" si="8"/>
        <v>3.8999999999999995</v>
      </c>
      <c r="AA56" s="112">
        <f t="shared" si="8"/>
        <v>2.9000000000000004</v>
      </c>
      <c r="AB56" s="112">
        <f t="shared" si="8"/>
        <v>1.7</v>
      </c>
      <c r="AC56" s="112">
        <f t="shared" si="8"/>
        <v>2</v>
      </c>
      <c r="AD56" s="112">
        <f t="shared" si="8"/>
        <v>3.5999999999999996</v>
      </c>
      <c r="AE56" s="114">
        <f t="shared" si="8"/>
        <v>2.8</v>
      </c>
    </row>
    <row r="57" spans="1:31">
      <c r="A57" s="54" t="s">
        <v>56</v>
      </c>
      <c r="B57" s="113">
        <f t="shared" ref="B57:AE57" si="9">B27-0.7</f>
        <v>0.90000000000000013</v>
      </c>
      <c r="C57" s="112">
        <f t="shared" si="9"/>
        <v>2.2999999999999998</v>
      </c>
      <c r="D57" s="112">
        <f t="shared" si="9"/>
        <v>0.90000000000000013</v>
      </c>
      <c r="E57" s="112">
        <f t="shared" si="9"/>
        <v>1.5999999999999999</v>
      </c>
      <c r="F57" s="112">
        <f t="shared" si="9"/>
        <v>1.5000000000000002</v>
      </c>
      <c r="G57" s="112">
        <f t="shared" si="9"/>
        <v>1.4000000000000001</v>
      </c>
      <c r="H57" s="112">
        <f t="shared" si="9"/>
        <v>1.4000000000000001</v>
      </c>
      <c r="I57" s="114">
        <f t="shared" si="9"/>
        <v>1.5000000000000002</v>
      </c>
      <c r="J57" s="113">
        <f t="shared" si="9"/>
        <v>1.5000000000000002</v>
      </c>
      <c r="K57" s="112">
        <f t="shared" si="9"/>
        <v>2.0999999999999996</v>
      </c>
      <c r="L57" s="112">
        <f t="shared" si="9"/>
        <v>1.1000000000000001</v>
      </c>
      <c r="M57" s="112">
        <f t="shared" si="9"/>
        <v>2.9000000000000004</v>
      </c>
      <c r="N57" s="112">
        <f t="shared" si="9"/>
        <v>2.4000000000000004</v>
      </c>
      <c r="O57" s="112">
        <f t="shared" si="9"/>
        <v>2.9000000000000004</v>
      </c>
      <c r="P57" s="112">
        <f t="shared" si="9"/>
        <v>2</v>
      </c>
      <c r="Q57" s="114">
        <f t="shared" si="9"/>
        <v>2.8</v>
      </c>
      <c r="R57" s="113">
        <f t="shared" si="9"/>
        <v>2.95</v>
      </c>
      <c r="S57" s="112">
        <f t="shared" si="9"/>
        <v>2.9699999999999998</v>
      </c>
      <c r="T57" s="112">
        <f t="shared" si="9"/>
        <v>5.3999999999999995</v>
      </c>
      <c r="U57" s="112">
        <f t="shared" si="9"/>
        <v>4.0999999999999996</v>
      </c>
      <c r="V57" s="112">
        <f t="shared" si="9"/>
        <v>3.8999999999999995</v>
      </c>
      <c r="W57" s="114">
        <f t="shared" si="9"/>
        <v>2.4000000000000004</v>
      </c>
      <c r="X57" s="113">
        <f t="shared" si="9"/>
        <v>4</v>
      </c>
      <c r="Y57" s="112">
        <f t="shared" si="9"/>
        <v>5.2</v>
      </c>
      <c r="Z57" s="112">
        <f t="shared" si="9"/>
        <v>5.2</v>
      </c>
      <c r="AA57" s="112">
        <f t="shared" si="9"/>
        <v>3.5</v>
      </c>
      <c r="AB57" s="112">
        <f t="shared" si="9"/>
        <v>2</v>
      </c>
      <c r="AC57" s="112">
        <f t="shared" si="9"/>
        <v>3.3</v>
      </c>
      <c r="AD57" s="112">
        <f t="shared" si="9"/>
        <v>4.3999999999999995</v>
      </c>
      <c r="AE57" s="114">
        <f t="shared" si="9"/>
        <v>3.8</v>
      </c>
    </row>
    <row r="58" spans="1:31">
      <c r="A58" s="54" t="s">
        <v>58</v>
      </c>
      <c r="B58" s="113">
        <f t="shared" ref="B58:AE58" si="10">B28-0.7</f>
        <v>0.90000000000000013</v>
      </c>
      <c r="C58" s="112">
        <f t="shared" si="10"/>
        <v>2.2999999999999998</v>
      </c>
      <c r="D58" s="112">
        <f t="shared" si="10"/>
        <v>0.5</v>
      </c>
      <c r="E58" s="112">
        <f t="shared" si="10"/>
        <v>1.7</v>
      </c>
      <c r="F58" s="112">
        <f t="shared" si="10"/>
        <v>1.3</v>
      </c>
      <c r="G58" s="112">
        <f t="shared" si="10"/>
        <v>1.5000000000000002</v>
      </c>
      <c r="H58" s="112">
        <f t="shared" si="10"/>
        <v>1.2</v>
      </c>
      <c r="I58" s="114">
        <f t="shared" si="10"/>
        <v>1.2</v>
      </c>
      <c r="J58" s="113">
        <f t="shared" si="10"/>
        <v>1.1000000000000001</v>
      </c>
      <c r="K58" s="112">
        <f t="shared" si="10"/>
        <v>1.8</v>
      </c>
      <c r="L58" s="112">
        <f t="shared" si="10"/>
        <v>0.90000000000000013</v>
      </c>
      <c r="M58" s="112">
        <f t="shared" si="10"/>
        <v>2.7</v>
      </c>
      <c r="N58" s="112">
        <f t="shared" si="10"/>
        <v>1.8</v>
      </c>
      <c r="O58" s="112">
        <f t="shared" si="10"/>
        <v>2.4000000000000004</v>
      </c>
      <c r="P58" s="112">
        <f t="shared" si="10"/>
        <v>1.4000000000000001</v>
      </c>
      <c r="Q58" s="114">
        <f t="shared" si="10"/>
        <v>2.0999999999999996</v>
      </c>
      <c r="R58" s="113">
        <f t="shared" si="10"/>
        <v>3.8</v>
      </c>
      <c r="S58" s="112">
        <f t="shared" si="10"/>
        <v>3.3999999999999995</v>
      </c>
      <c r="T58" s="112">
        <f t="shared" si="10"/>
        <v>6</v>
      </c>
      <c r="U58" s="112">
        <f t="shared" si="10"/>
        <v>4.3</v>
      </c>
      <c r="V58" s="112">
        <f t="shared" si="10"/>
        <v>4.0999999999999996</v>
      </c>
      <c r="W58" s="114">
        <f t="shared" si="10"/>
        <v>2.7</v>
      </c>
      <c r="X58" s="113">
        <f t="shared" si="10"/>
        <v>3.8</v>
      </c>
      <c r="Y58" s="112">
        <f t="shared" si="10"/>
        <v>2.2999999999999998</v>
      </c>
      <c r="Z58" s="112">
        <f t="shared" si="10"/>
        <v>4.3</v>
      </c>
      <c r="AA58" s="112">
        <f t="shared" si="10"/>
        <v>3</v>
      </c>
      <c r="AB58" s="112">
        <f t="shared" si="10"/>
        <v>1.9000000000000001</v>
      </c>
      <c r="AC58" s="112">
        <f t="shared" si="10"/>
        <v>2</v>
      </c>
      <c r="AD58" s="112">
        <f t="shared" si="10"/>
        <v>3.8</v>
      </c>
      <c r="AE58" s="114">
        <f t="shared" si="10"/>
        <v>3.0999999999999996</v>
      </c>
    </row>
    <row r="59" spans="1:31">
      <c r="A59" s="89" t="s">
        <v>59</v>
      </c>
      <c r="B59" s="113">
        <f t="shared" ref="B59:AE59" si="11">B29-0.7</f>
        <v>0.90000000000000013</v>
      </c>
      <c r="C59" s="112">
        <f t="shared" si="11"/>
        <v>2.5999999999999996</v>
      </c>
      <c r="D59" s="112">
        <f t="shared" si="11"/>
        <v>0.60000000000000009</v>
      </c>
      <c r="E59" s="112">
        <f t="shared" si="11"/>
        <v>1.7</v>
      </c>
      <c r="F59" s="112">
        <f t="shared" si="11"/>
        <v>1.4000000000000001</v>
      </c>
      <c r="G59" s="112">
        <f t="shared" si="11"/>
        <v>1.5999999999999999</v>
      </c>
      <c r="H59" s="112">
        <f t="shared" si="11"/>
        <v>1.3</v>
      </c>
      <c r="I59" s="114">
        <f t="shared" si="11"/>
        <v>1.3</v>
      </c>
      <c r="J59" s="113">
        <f t="shared" si="11"/>
        <v>1.1600000000000001</v>
      </c>
      <c r="K59" s="112">
        <f t="shared" si="11"/>
        <v>0.90000000000000013</v>
      </c>
      <c r="L59" s="112">
        <f t="shared" si="11"/>
        <v>1.3</v>
      </c>
      <c r="M59" s="112">
        <f t="shared" si="11"/>
        <v>3.05</v>
      </c>
      <c r="N59" s="112">
        <f t="shared" si="11"/>
        <v>2.5</v>
      </c>
      <c r="O59" s="112">
        <f t="shared" si="11"/>
        <v>3.1500000000000004</v>
      </c>
      <c r="P59" s="112">
        <f t="shared" si="11"/>
        <v>1.9000000000000001</v>
      </c>
      <c r="Q59" s="114">
        <f t="shared" si="11"/>
        <v>2.5999999999999996</v>
      </c>
      <c r="R59" s="113">
        <f t="shared" si="11"/>
        <v>3.8</v>
      </c>
      <c r="S59" s="112">
        <f t="shared" si="11"/>
        <v>3.3</v>
      </c>
      <c r="T59" s="112">
        <f t="shared" si="11"/>
        <v>6.3999999999999995</v>
      </c>
      <c r="U59" s="112">
        <f t="shared" si="11"/>
        <v>4.5999999999999996</v>
      </c>
      <c r="V59" s="112">
        <f t="shared" si="11"/>
        <v>4.3999999999999995</v>
      </c>
      <c r="W59" s="114">
        <f t="shared" si="11"/>
        <v>2.7</v>
      </c>
      <c r="X59" s="113">
        <f t="shared" si="11"/>
        <v>4</v>
      </c>
      <c r="Y59" s="112">
        <f t="shared" si="11"/>
        <v>5.5</v>
      </c>
      <c r="Z59" s="112">
        <f t="shared" si="11"/>
        <v>5.6</v>
      </c>
      <c r="AA59" s="112">
        <f t="shared" si="11"/>
        <v>3.8</v>
      </c>
      <c r="AB59" s="112">
        <f t="shared" si="11"/>
        <v>2</v>
      </c>
      <c r="AC59" s="112">
        <f t="shared" si="11"/>
        <v>2.0999999999999996</v>
      </c>
      <c r="AD59" s="112">
        <f t="shared" si="11"/>
        <v>4.5599999999999996</v>
      </c>
      <c r="AE59" s="114">
        <f t="shared" si="11"/>
        <v>3.5</v>
      </c>
    </row>
    <row r="60" spans="1:31">
      <c r="A60" s="89" t="s">
        <v>60</v>
      </c>
      <c r="B60" s="113">
        <f t="shared" ref="B60:AE60" si="12">B30-0.7</f>
        <v>0.90000000000000013</v>
      </c>
      <c r="C60" s="112">
        <f t="shared" si="12"/>
        <v>2.7</v>
      </c>
      <c r="D60" s="112">
        <f t="shared" si="12"/>
        <v>0.5</v>
      </c>
      <c r="E60" s="112">
        <f t="shared" si="12"/>
        <v>1.8</v>
      </c>
      <c r="F60" s="112">
        <f t="shared" si="12"/>
        <v>1.4000000000000001</v>
      </c>
      <c r="G60" s="112">
        <f t="shared" si="12"/>
        <v>1.5000000000000002</v>
      </c>
      <c r="H60" s="112">
        <f t="shared" si="12"/>
        <v>1.4600000000000002</v>
      </c>
      <c r="I60" s="114">
        <f t="shared" si="12"/>
        <v>1.5000000000000002</v>
      </c>
      <c r="J60" s="113">
        <f t="shared" si="12"/>
        <v>0.95</v>
      </c>
      <c r="K60" s="112">
        <f t="shared" si="12"/>
        <v>2</v>
      </c>
      <c r="L60" s="112">
        <f t="shared" si="12"/>
        <v>0.95</v>
      </c>
      <c r="M60" s="112">
        <f t="shared" si="12"/>
        <v>2.5499999999999998</v>
      </c>
      <c r="N60" s="112">
        <f t="shared" si="12"/>
        <v>1.8699999999999999</v>
      </c>
      <c r="O60" s="112">
        <f t="shared" si="12"/>
        <v>2.5999999999999996</v>
      </c>
      <c r="P60" s="112">
        <f t="shared" si="12"/>
        <v>1.5000000000000002</v>
      </c>
      <c r="Q60" s="114">
        <f t="shared" si="12"/>
        <v>2.17</v>
      </c>
      <c r="R60" s="113">
        <f t="shared" si="12"/>
        <v>3.75</v>
      </c>
      <c r="S60" s="112">
        <f t="shared" si="12"/>
        <v>3.8999999999999995</v>
      </c>
      <c r="T60" s="112">
        <f t="shared" si="12"/>
        <v>6.8</v>
      </c>
      <c r="U60" s="112">
        <f t="shared" si="12"/>
        <v>4.5999999999999996</v>
      </c>
      <c r="V60" s="112">
        <f t="shared" si="12"/>
        <v>4.7</v>
      </c>
      <c r="W60" s="114">
        <f t="shared" si="12"/>
        <v>2.9000000000000004</v>
      </c>
      <c r="X60" s="113">
        <f t="shared" si="12"/>
        <v>3.3999999999999995</v>
      </c>
      <c r="Y60" s="112">
        <f t="shared" si="12"/>
        <v>4.8999999999999995</v>
      </c>
      <c r="Z60" s="112">
        <f t="shared" si="12"/>
        <v>5.2</v>
      </c>
      <c r="AA60" s="112">
        <f t="shared" si="12"/>
        <v>3.3</v>
      </c>
      <c r="AB60" s="112">
        <f t="shared" si="12"/>
        <v>0.5</v>
      </c>
      <c r="AC60" s="112">
        <f t="shared" si="12"/>
        <v>1.95</v>
      </c>
      <c r="AD60" s="112">
        <f t="shared" si="12"/>
        <v>3.8999999999999995</v>
      </c>
      <c r="AE60" s="114">
        <f t="shared" si="12"/>
        <v>2.9000000000000004</v>
      </c>
    </row>
    <row r="61" spans="1:31">
      <c r="A61" s="89" t="s">
        <v>61</v>
      </c>
      <c r="B61" s="113">
        <f t="shared" ref="B61:AE61" si="13">B31-0.7</f>
        <v>0.90000000000000013</v>
      </c>
      <c r="C61" s="112">
        <f t="shared" si="13"/>
        <v>3.0999999999999996</v>
      </c>
      <c r="D61" s="112">
        <f t="shared" si="13"/>
        <v>0.5</v>
      </c>
      <c r="E61" s="112">
        <f t="shared" si="13"/>
        <v>1.9000000000000001</v>
      </c>
      <c r="F61" s="112">
        <f t="shared" si="13"/>
        <v>1.5000000000000002</v>
      </c>
      <c r="G61" s="112">
        <f t="shared" si="13"/>
        <v>1.5000000000000002</v>
      </c>
      <c r="H61" s="112">
        <f t="shared" si="13"/>
        <v>1.7</v>
      </c>
      <c r="I61" s="114">
        <f t="shared" si="13"/>
        <v>1.4000000000000001</v>
      </c>
      <c r="J61" s="113">
        <f t="shared" si="13"/>
        <v>1.3</v>
      </c>
      <c r="K61" s="112">
        <f t="shared" si="13"/>
        <v>2</v>
      </c>
      <c r="L61" s="112">
        <f t="shared" si="13"/>
        <v>1.1000000000000001</v>
      </c>
      <c r="M61" s="112">
        <f t="shared" si="13"/>
        <v>3.1500000000000004</v>
      </c>
      <c r="N61" s="112">
        <f t="shared" si="13"/>
        <v>2.7</v>
      </c>
      <c r="O61" s="112">
        <f t="shared" si="13"/>
        <v>3.3999999999999995</v>
      </c>
      <c r="P61" s="112">
        <f t="shared" si="13"/>
        <v>1.9000000000000001</v>
      </c>
      <c r="Q61" s="114">
        <f t="shared" si="13"/>
        <v>2.7</v>
      </c>
      <c r="R61" s="113">
        <f t="shared" si="13"/>
        <v>3.7</v>
      </c>
      <c r="S61" s="112">
        <f t="shared" si="13"/>
        <v>3.8</v>
      </c>
      <c r="T61" s="112">
        <f t="shared" si="13"/>
        <v>7.6000000000000005</v>
      </c>
      <c r="U61" s="112">
        <f t="shared" si="13"/>
        <v>4.75</v>
      </c>
      <c r="V61" s="112">
        <f t="shared" si="13"/>
        <v>5.0999999999999996</v>
      </c>
      <c r="W61" s="114">
        <f t="shared" si="13"/>
        <v>3.3</v>
      </c>
      <c r="X61" s="113">
        <f t="shared" si="13"/>
        <v>4</v>
      </c>
      <c r="Y61" s="112">
        <f t="shared" si="13"/>
        <v>7.2</v>
      </c>
      <c r="Z61" s="112">
        <f t="shared" si="13"/>
        <v>6.14</v>
      </c>
      <c r="AA61" s="112">
        <f t="shared" si="13"/>
        <v>3.8999999999999995</v>
      </c>
      <c r="AB61" s="112">
        <f t="shared" si="13"/>
        <v>2.0999999999999996</v>
      </c>
      <c r="AC61" s="112">
        <f t="shared" si="13"/>
        <v>2.2999999999999998</v>
      </c>
      <c r="AD61" s="112">
        <f t="shared" si="13"/>
        <v>4.5999999999999996</v>
      </c>
      <c r="AE61" s="114">
        <f t="shared" si="13"/>
        <v>3.3</v>
      </c>
    </row>
    <row r="62" spans="1:31">
      <c r="A62" s="89" t="s">
        <v>62</v>
      </c>
      <c r="B62" s="113">
        <f t="shared" ref="B62:AE62" si="14">B32-0.7</f>
        <v>0.90000000000000013</v>
      </c>
      <c r="C62" s="112">
        <f t="shared" si="14"/>
        <v>3.0999999999999996</v>
      </c>
      <c r="D62" s="112">
        <f t="shared" si="14"/>
        <v>0.5</v>
      </c>
      <c r="E62" s="112">
        <f t="shared" si="14"/>
        <v>1.8</v>
      </c>
      <c r="F62" s="112">
        <f t="shared" si="14"/>
        <v>1.5000000000000002</v>
      </c>
      <c r="G62" s="112">
        <f t="shared" si="14"/>
        <v>1.5999999999999999</v>
      </c>
      <c r="H62" s="112">
        <f t="shared" si="14"/>
        <v>1.4000000000000001</v>
      </c>
      <c r="I62" s="114">
        <f t="shared" si="14"/>
        <v>1.55</v>
      </c>
      <c r="J62" s="113">
        <f t="shared" si="14"/>
        <v>1</v>
      </c>
      <c r="K62" s="112">
        <f t="shared" si="14"/>
        <v>1.7</v>
      </c>
      <c r="L62" s="112">
        <f t="shared" si="14"/>
        <v>0.8</v>
      </c>
      <c r="M62" s="112">
        <f t="shared" si="14"/>
        <v>2.9000000000000004</v>
      </c>
      <c r="N62" s="112">
        <f t="shared" si="14"/>
        <v>2.2000000000000002</v>
      </c>
      <c r="O62" s="112">
        <f t="shared" si="14"/>
        <v>3.1500000000000004</v>
      </c>
      <c r="P62" s="112">
        <f t="shared" si="14"/>
        <v>1.7</v>
      </c>
      <c r="Q62" s="114">
        <f t="shared" si="14"/>
        <v>2.5999999999999996</v>
      </c>
      <c r="R62" s="113">
        <f t="shared" si="14"/>
        <v>3.8999999999999995</v>
      </c>
      <c r="S62" s="112">
        <f t="shared" si="14"/>
        <v>3.8999999999999995</v>
      </c>
      <c r="T62" s="112">
        <f t="shared" si="14"/>
        <v>8.7000000000000011</v>
      </c>
      <c r="U62" s="112">
        <f t="shared" si="14"/>
        <v>5.6</v>
      </c>
      <c r="V62" s="112">
        <f t="shared" si="14"/>
        <v>5.3</v>
      </c>
      <c r="W62" s="114">
        <f t="shared" si="14"/>
        <v>3.3999999999999995</v>
      </c>
      <c r="X62" s="113">
        <f t="shared" si="14"/>
        <v>3.7</v>
      </c>
      <c r="Y62" s="112">
        <f t="shared" si="14"/>
        <v>5.3999999999999995</v>
      </c>
      <c r="Z62" s="112">
        <f t="shared" si="14"/>
        <v>6.3</v>
      </c>
      <c r="AA62" s="112">
        <f t="shared" si="14"/>
        <v>3.7</v>
      </c>
      <c r="AB62" s="112">
        <f t="shared" si="14"/>
        <v>1.9000000000000001</v>
      </c>
      <c r="AC62" s="112">
        <f t="shared" si="14"/>
        <v>3.3</v>
      </c>
      <c r="AD62" s="112">
        <f t="shared" si="14"/>
        <v>4.0999999999999996</v>
      </c>
      <c r="AE62" s="114">
        <f t="shared" si="14"/>
        <v>3</v>
      </c>
    </row>
    <row r="63" spans="1:31">
      <c r="A63" s="89"/>
      <c r="B63" s="113"/>
      <c r="C63" s="112"/>
      <c r="D63" s="112"/>
      <c r="E63" s="112"/>
      <c r="F63" s="112"/>
      <c r="G63" s="112"/>
      <c r="H63" s="112"/>
      <c r="I63" s="114"/>
      <c r="J63" s="113"/>
      <c r="K63" s="112"/>
      <c r="L63" s="112"/>
      <c r="M63" s="112"/>
      <c r="N63" s="112"/>
      <c r="O63" s="112"/>
      <c r="P63" s="112"/>
      <c r="Q63" s="114"/>
      <c r="R63" s="113"/>
      <c r="S63" s="112"/>
      <c r="T63" s="112"/>
      <c r="U63" s="112"/>
      <c r="V63" s="112"/>
      <c r="W63" s="114"/>
      <c r="X63" s="113"/>
      <c r="Y63" s="112"/>
      <c r="Z63" s="112"/>
      <c r="AA63" s="112"/>
      <c r="AB63" s="112"/>
      <c r="AC63" s="112"/>
      <c r="AD63" s="112"/>
      <c r="AE63" s="114"/>
    </row>
    <row r="64" spans="1:31" ht="19" thickBot="1">
      <c r="A64" s="89"/>
      <c r="B64" s="149"/>
      <c r="C64" s="150"/>
      <c r="D64" s="150"/>
      <c r="E64" s="150"/>
      <c r="F64" s="150"/>
      <c r="G64" s="150"/>
      <c r="H64" s="150"/>
      <c r="I64" s="55"/>
      <c r="J64" s="149"/>
      <c r="K64" s="150"/>
      <c r="L64" s="150"/>
      <c r="M64" s="150"/>
      <c r="N64" s="150"/>
      <c r="O64" s="150"/>
      <c r="P64" s="150"/>
      <c r="Q64" s="55"/>
      <c r="R64" s="149"/>
      <c r="S64" s="150"/>
      <c r="T64" s="150"/>
      <c r="U64" s="150"/>
      <c r="V64" s="150"/>
      <c r="W64" s="55"/>
      <c r="X64" s="149"/>
      <c r="Y64" s="150"/>
      <c r="Z64" s="150"/>
      <c r="AA64" s="150"/>
      <c r="AB64" s="150"/>
      <c r="AC64" s="150"/>
      <c r="AD64" s="150"/>
      <c r="AE64" s="55"/>
    </row>
    <row r="68" spans="1:31" ht="19" thickBot="1"/>
    <row r="69" spans="1:31" ht="19" thickBot="1">
      <c r="A69" s="63" t="s">
        <v>44</v>
      </c>
      <c r="B69" s="218" t="s">
        <v>30</v>
      </c>
      <c r="C69" s="219"/>
      <c r="D69" s="219"/>
      <c r="E69" s="219"/>
      <c r="F69" s="219"/>
      <c r="G69" s="219"/>
      <c r="H69" s="219"/>
      <c r="I69" s="220"/>
      <c r="J69" s="218" t="s">
        <v>31</v>
      </c>
      <c r="K69" s="219"/>
      <c r="L69" s="219"/>
      <c r="M69" s="219"/>
      <c r="N69" s="219"/>
      <c r="O69" s="219"/>
      <c r="P69" s="219"/>
      <c r="Q69" s="220"/>
      <c r="R69" s="218" t="s">
        <v>32</v>
      </c>
      <c r="S69" s="219"/>
      <c r="T69" s="219"/>
      <c r="U69" s="219"/>
      <c r="V69" s="219"/>
      <c r="W69" s="220"/>
      <c r="X69" s="218" t="s">
        <v>43</v>
      </c>
      <c r="Y69" s="219"/>
      <c r="Z69" s="219"/>
      <c r="AA69" s="219"/>
      <c r="AB69" s="219"/>
      <c r="AC69" s="219"/>
      <c r="AD69" s="219"/>
      <c r="AE69" s="220"/>
    </row>
    <row r="70" spans="1:31" ht="19" thickBot="1">
      <c r="A70" s="63"/>
      <c r="B70" s="198" t="s">
        <v>22</v>
      </c>
      <c r="C70" s="199"/>
      <c r="D70" s="199"/>
      <c r="E70" s="199"/>
      <c r="F70" s="199"/>
      <c r="G70" s="199"/>
      <c r="H70" s="199"/>
      <c r="I70" s="200"/>
      <c r="J70" s="224" t="s">
        <v>34</v>
      </c>
      <c r="K70" s="199"/>
      <c r="L70" s="199"/>
      <c r="M70" s="199"/>
      <c r="N70" s="199"/>
      <c r="O70" s="199"/>
      <c r="P70" s="199"/>
      <c r="Q70" s="200"/>
      <c r="R70" s="225" t="s">
        <v>24</v>
      </c>
      <c r="S70" s="202"/>
      <c r="T70" s="202"/>
      <c r="U70" s="202"/>
      <c r="V70" s="202"/>
      <c r="W70" s="203"/>
      <c r="X70" s="226" t="s">
        <v>21</v>
      </c>
      <c r="Y70" s="205"/>
      <c r="Z70" s="205"/>
      <c r="AA70" s="205"/>
      <c r="AB70" s="205"/>
      <c r="AC70" s="205"/>
      <c r="AD70" s="205"/>
      <c r="AE70" s="206"/>
    </row>
    <row r="71" spans="1:31" ht="19">
      <c r="A71" s="64"/>
      <c r="B71" s="207">
        <v>951</v>
      </c>
      <c r="C71" s="208"/>
      <c r="D71" s="208">
        <v>3</v>
      </c>
      <c r="E71" s="208"/>
      <c r="F71" s="208">
        <v>5</v>
      </c>
      <c r="G71" s="208"/>
      <c r="H71" s="208">
        <v>78</v>
      </c>
      <c r="I71" s="209"/>
      <c r="J71" s="223">
        <v>1</v>
      </c>
      <c r="K71" s="211"/>
      <c r="L71" s="211">
        <v>4</v>
      </c>
      <c r="M71" s="211"/>
      <c r="N71" s="211">
        <v>952</v>
      </c>
      <c r="O71" s="211"/>
      <c r="P71" s="211">
        <v>962</v>
      </c>
      <c r="Q71" s="212"/>
      <c r="R71" s="222">
        <v>958</v>
      </c>
      <c r="S71" s="214"/>
      <c r="T71" s="214">
        <v>959</v>
      </c>
      <c r="U71" s="214"/>
      <c r="V71" s="214">
        <v>961</v>
      </c>
      <c r="W71" s="215"/>
      <c r="X71" s="221">
        <v>960</v>
      </c>
      <c r="Y71" s="196"/>
      <c r="Z71" s="195">
        <v>2</v>
      </c>
      <c r="AA71" s="195"/>
      <c r="AB71" s="196">
        <v>953</v>
      </c>
      <c r="AC71" s="196"/>
      <c r="AD71" s="196">
        <v>79</v>
      </c>
      <c r="AE71" s="197"/>
    </row>
    <row r="72" spans="1:31" ht="20" thickBot="1">
      <c r="A72" s="64"/>
      <c r="B72" s="123" t="s">
        <v>2</v>
      </c>
      <c r="C72" s="124" t="s">
        <v>3</v>
      </c>
      <c r="D72" s="125" t="s">
        <v>2</v>
      </c>
      <c r="E72" s="125" t="s">
        <v>3</v>
      </c>
      <c r="F72" s="125" t="s">
        <v>2</v>
      </c>
      <c r="G72" s="125" t="s">
        <v>3</v>
      </c>
      <c r="H72" s="125" t="s">
        <v>2</v>
      </c>
      <c r="I72" s="126" t="s">
        <v>3</v>
      </c>
      <c r="J72" s="127" t="s">
        <v>2</v>
      </c>
      <c r="K72" s="128" t="s">
        <v>3</v>
      </c>
      <c r="L72" s="128" t="s">
        <v>2</v>
      </c>
      <c r="M72" s="128" t="s">
        <v>3</v>
      </c>
      <c r="N72" s="128" t="s">
        <v>2</v>
      </c>
      <c r="O72" s="128" t="s">
        <v>3</v>
      </c>
      <c r="P72" s="128" t="s">
        <v>2</v>
      </c>
      <c r="Q72" s="129" t="s">
        <v>3</v>
      </c>
      <c r="R72" s="130" t="s">
        <v>2</v>
      </c>
      <c r="S72" s="131" t="s">
        <v>3</v>
      </c>
      <c r="T72" s="131" t="s">
        <v>2</v>
      </c>
      <c r="U72" s="131" t="s">
        <v>3</v>
      </c>
      <c r="V72" s="131" t="s">
        <v>2</v>
      </c>
      <c r="W72" s="132" t="s">
        <v>3</v>
      </c>
      <c r="X72" s="133" t="s">
        <v>2</v>
      </c>
      <c r="Y72" s="134" t="s">
        <v>3</v>
      </c>
      <c r="Z72" s="135" t="s">
        <v>2</v>
      </c>
      <c r="AA72" s="135" t="s">
        <v>3</v>
      </c>
      <c r="AB72" s="134" t="s">
        <v>2</v>
      </c>
      <c r="AC72" s="134" t="s">
        <v>3</v>
      </c>
      <c r="AD72" s="136" t="s">
        <v>2</v>
      </c>
      <c r="AE72" s="137" t="s">
        <v>3</v>
      </c>
    </row>
    <row r="73" spans="1:31" s="89" customFormat="1">
      <c r="A73" s="78" t="s">
        <v>6</v>
      </c>
      <c r="B73" s="113">
        <f t="shared" ref="B73:Q73" si="15">B48/B$48</f>
        <v>1</v>
      </c>
      <c r="C73" s="112">
        <f t="shared" si="15"/>
        <v>1</v>
      </c>
      <c r="D73" s="112">
        <f t="shared" si="15"/>
        <v>1</v>
      </c>
      <c r="E73" s="112">
        <f t="shared" si="15"/>
        <v>1</v>
      </c>
      <c r="F73" s="112">
        <f t="shared" si="15"/>
        <v>1</v>
      </c>
      <c r="G73" s="112">
        <f t="shared" si="15"/>
        <v>1</v>
      </c>
      <c r="H73" s="112">
        <f t="shared" si="15"/>
        <v>1</v>
      </c>
      <c r="I73" s="114">
        <f t="shared" si="15"/>
        <v>1</v>
      </c>
      <c r="J73" s="113">
        <f t="shared" si="15"/>
        <v>1</v>
      </c>
      <c r="K73" s="112">
        <f t="shared" si="15"/>
        <v>1</v>
      </c>
      <c r="L73" s="112">
        <f t="shared" si="15"/>
        <v>1</v>
      </c>
      <c r="M73" s="112">
        <f t="shared" si="15"/>
        <v>1</v>
      </c>
      <c r="N73" s="112">
        <f t="shared" si="15"/>
        <v>1</v>
      </c>
      <c r="O73" s="112">
        <f t="shared" si="15"/>
        <v>1</v>
      </c>
      <c r="P73" s="112">
        <f t="shared" si="15"/>
        <v>1</v>
      </c>
      <c r="Q73" s="114">
        <f t="shared" si="15"/>
        <v>1</v>
      </c>
      <c r="R73" s="113">
        <f t="shared" ref="R73:AE73" si="16">R48/R$48</f>
        <v>1</v>
      </c>
      <c r="S73" s="112">
        <f t="shared" si="16"/>
        <v>1</v>
      </c>
      <c r="T73" s="112">
        <f t="shared" si="16"/>
        <v>1</v>
      </c>
      <c r="U73" s="112">
        <f t="shared" si="16"/>
        <v>1</v>
      </c>
      <c r="V73" s="112">
        <f t="shared" si="16"/>
        <v>1</v>
      </c>
      <c r="W73" s="114">
        <f t="shared" si="16"/>
        <v>1</v>
      </c>
      <c r="X73" s="113">
        <f t="shared" si="16"/>
        <v>1</v>
      </c>
      <c r="Y73" s="112">
        <f t="shared" si="16"/>
        <v>1</v>
      </c>
      <c r="Z73" s="112">
        <f t="shared" si="16"/>
        <v>1</v>
      </c>
      <c r="AA73" s="112">
        <f t="shared" si="16"/>
        <v>1</v>
      </c>
      <c r="AB73" s="112">
        <f t="shared" si="16"/>
        <v>1</v>
      </c>
      <c r="AC73" s="112">
        <f t="shared" si="16"/>
        <v>1</v>
      </c>
      <c r="AD73" s="112">
        <f t="shared" si="16"/>
        <v>1</v>
      </c>
      <c r="AE73" s="114">
        <f t="shared" si="16"/>
        <v>1</v>
      </c>
    </row>
    <row r="74" spans="1:31" s="89" customFormat="1">
      <c r="A74" s="89" t="s">
        <v>40</v>
      </c>
      <c r="B74" s="113">
        <f t="shared" ref="B74:Q74" si="17">B49/B$48</f>
        <v>1</v>
      </c>
      <c r="C74" s="112">
        <f t="shared" si="17"/>
        <v>0.64912280701754388</v>
      </c>
      <c r="D74" s="112">
        <f t="shared" si="17"/>
        <v>0.60714285714285721</v>
      </c>
      <c r="E74" s="112">
        <f t="shared" si="17"/>
        <v>0.55813953488372103</v>
      </c>
      <c r="F74" s="112">
        <f t="shared" si="17"/>
        <v>0.69444444444444453</v>
      </c>
      <c r="G74" s="112">
        <f t="shared" si="17"/>
        <v>0.63414634146341464</v>
      </c>
      <c r="H74" s="112">
        <f t="shared" si="17"/>
        <v>0.65624999999999989</v>
      </c>
      <c r="I74" s="114">
        <f t="shared" si="17"/>
        <v>0.54054054054054046</v>
      </c>
      <c r="J74" s="113">
        <f t="shared" si="17"/>
        <v>0.59090909090909083</v>
      </c>
      <c r="K74" s="112">
        <f t="shared" si="17"/>
        <v>0.73684210526315785</v>
      </c>
      <c r="L74" s="112">
        <f t="shared" si="17"/>
        <v>1</v>
      </c>
      <c r="M74" s="112">
        <f t="shared" si="17"/>
        <v>0.55555555555555558</v>
      </c>
      <c r="N74" s="112">
        <f t="shared" si="17"/>
        <v>0.69999999999999984</v>
      </c>
      <c r="O74" s="112">
        <f t="shared" si="17"/>
        <v>0.63333333333333341</v>
      </c>
      <c r="P74" s="112">
        <f t="shared" si="17"/>
        <v>0.66666666666666663</v>
      </c>
      <c r="Q74" s="114">
        <f t="shared" si="17"/>
        <v>0.625</v>
      </c>
      <c r="R74" s="113">
        <f t="shared" ref="R74:AE74" si="18">R49/R$48</f>
        <v>0.83673469387755106</v>
      </c>
      <c r="S74" s="112">
        <f t="shared" si="18"/>
        <v>0.86363636363636365</v>
      </c>
      <c r="T74" s="112">
        <f t="shared" si="18"/>
        <v>0.80327868852459017</v>
      </c>
      <c r="U74" s="112">
        <f t="shared" si="18"/>
        <v>0.81632653061224503</v>
      </c>
      <c r="V74" s="112">
        <f t="shared" si="18"/>
        <v>0.72</v>
      </c>
      <c r="W74" s="114">
        <f t="shared" si="18"/>
        <v>0.90625000000000011</v>
      </c>
      <c r="X74" s="113">
        <f t="shared" si="18"/>
        <v>0.71052631578947378</v>
      </c>
      <c r="Y74" s="112">
        <f t="shared" si="18"/>
        <v>0.63636363636363635</v>
      </c>
      <c r="Z74" s="112">
        <f t="shared" si="18"/>
        <v>0.66666666666666663</v>
      </c>
      <c r="AA74" s="112">
        <f t="shared" si="18"/>
        <v>0.65714285714285714</v>
      </c>
      <c r="AB74" s="112">
        <f t="shared" si="18"/>
        <v>0.65517241379310343</v>
      </c>
      <c r="AC74" s="112">
        <f t="shared" si="18"/>
        <v>0.63636363636363624</v>
      </c>
      <c r="AD74" s="112">
        <f t="shared" si="18"/>
        <v>0.69387755102040816</v>
      </c>
      <c r="AE74" s="114">
        <f t="shared" si="18"/>
        <v>0.63157894736842113</v>
      </c>
    </row>
    <row r="75" spans="1:31" s="89" customFormat="1">
      <c r="A75" s="89" t="s">
        <v>46</v>
      </c>
      <c r="B75" s="113">
        <f t="shared" ref="B75:Q75" si="19">B50/B$48</f>
        <v>0.61111111111111116</v>
      </c>
      <c r="C75" s="112">
        <f t="shared" si="19"/>
        <v>0.59649122807017529</v>
      </c>
      <c r="D75" s="112">
        <f t="shared" si="19"/>
        <v>0.53571428571428581</v>
      </c>
      <c r="E75" s="112">
        <f t="shared" si="19"/>
        <v>0.67441860465116288</v>
      </c>
      <c r="F75" s="112">
        <f t="shared" si="19"/>
        <v>0.58333333333333326</v>
      </c>
      <c r="G75" s="112">
        <f t="shared" si="19"/>
        <v>0.53658536585365868</v>
      </c>
      <c r="H75" s="112">
        <f t="shared" si="19"/>
        <v>0.65624999999999989</v>
      </c>
      <c r="I75" s="114">
        <f t="shared" si="19"/>
        <v>0.59459459459459463</v>
      </c>
      <c r="J75" s="113">
        <f t="shared" si="19"/>
        <v>0.72727272727272718</v>
      </c>
      <c r="K75" s="112">
        <f t="shared" si="19"/>
        <v>0.73684210526315785</v>
      </c>
      <c r="L75" s="112">
        <f t="shared" si="19"/>
        <v>0.88235294117647078</v>
      </c>
      <c r="M75" s="112">
        <f t="shared" si="19"/>
        <v>0.61111111111111116</v>
      </c>
      <c r="N75" s="112">
        <f t="shared" si="19"/>
        <v>0.66666666666666663</v>
      </c>
      <c r="O75" s="112">
        <f t="shared" si="19"/>
        <v>1</v>
      </c>
      <c r="P75" s="112">
        <f t="shared" si="19"/>
        <v>0.92592592592592582</v>
      </c>
      <c r="Q75" s="114">
        <f t="shared" si="19"/>
        <v>0.67500000000000004</v>
      </c>
      <c r="R75" s="113">
        <f t="shared" ref="R75:AE75" si="20">R50/R$48</f>
        <v>0.71428571428571441</v>
      </c>
      <c r="S75" s="112">
        <f t="shared" si="20"/>
        <v>0.79545454545454553</v>
      </c>
      <c r="T75" s="112">
        <f t="shared" si="20"/>
        <v>0.7704918032786886</v>
      </c>
      <c r="U75" s="112">
        <f t="shared" si="20"/>
        <v>0.7551020408163267</v>
      </c>
      <c r="V75" s="112">
        <f t="shared" si="20"/>
        <v>0.72</v>
      </c>
      <c r="W75" s="114">
        <f t="shared" si="20"/>
        <v>0.81249999999999989</v>
      </c>
      <c r="X75" s="113">
        <f t="shared" si="20"/>
        <v>0.89473684210526305</v>
      </c>
      <c r="Y75" s="112">
        <f t="shared" si="20"/>
        <v>0.76363636363636367</v>
      </c>
      <c r="Z75" s="112">
        <f t="shared" si="20"/>
        <v>0.8222222222222223</v>
      </c>
      <c r="AA75" s="112">
        <f t="shared" si="20"/>
        <v>0.88571428571428557</v>
      </c>
      <c r="AB75" s="112">
        <f t="shared" si="20"/>
        <v>0.75862068965517238</v>
      </c>
      <c r="AC75" s="112">
        <f t="shared" si="20"/>
        <v>1.2727272727272729</v>
      </c>
      <c r="AD75" s="112">
        <f t="shared" si="20"/>
        <v>0.87755102040816335</v>
      </c>
      <c r="AE75" s="114">
        <f t="shared" si="20"/>
        <v>0.8421052631578948</v>
      </c>
    </row>
    <row r="76" spans="1:31" s="89" customFormat="1">
      <c r="A76" s="54" t="s">
        <v>47</v>
      </c>
      <c r="B76" s="113">
        <f t="shared" ref="B76:Q76" si="21">B51/B$48</f>
        <v>0.55555555555555558</v>
      </c>
      <c r="C76" s="112">
        <f t="shared" si="21"/>
        <v>0.47368421052631582</v>
      </c>
      <c r="D76" s="112">
        <f t="shared" si="21"/>
        <v>0.5714285714285714</v>
      </c>
      <c r="E76" s="112">
        <f t="shared" si="21"/>
        <v>0.44186046511627913</v>
      </c>
      <c r="F76" s="112">
        <f t="shared" si="21"/>
        <v>0.50000000000000011</v>
      </c>
      <c r="G76" s="112">
        <f t="shared" si="21"/>
        <v>0.46341463414634154</v>
      </c>
      <c r="H76" s="112">
        <f t="shared" si="21"/>
        <v>0.53125</v>
      </c>
      <c r="I76" s="114">
        <f t="shared" si="21"/>
        <v>0.54054054054054046</v>
      </c>
      <c r="J76" s="113">
        <f t="shared" si="21"/>
        <v>0.59090909090909083</v>
      </c>
      <c r="K76" s="112">
        <f t="shared" si="21"/>
        <v>0.65789473684210531</v>
      </c>
      <c r="L76" s="112">
        <f t="shared" si="21"/>
        <v>0.6470588235294118</v>
      </c>
      <c r="M76" s="112">
        <f t="shared" si="21"/>
        <v>0.50000000000000011</v>
      </c>
      <c r="N76" s="112">
        <f t="shared" si="21"/>
        <v>0.73333333333333339</v>
      </c>
      <c r="O76" s="112">
        <f t="shared" si="21"/>
        <v>0.83333333333333337</v>
      </c>
      <c r="P76" s="112">
        <f t="shared" si="21"/>
        <v>0.70370370370370372</v>
      </c>
      <c r="Q76" s="114">
        <f t="shared" si="21"/>
        <v>0.7</v>
      </c>
      <c r="R76" s="113">
        <f t="shared" ref="R76:AE76" si="22">R51/R$48</f>
        <v>0.67346938775510212</v>
      </c>
      <c r="S76" s="112">
        <f t="shared" si="22"/>
        <v>0.88636363636363635</v>
      </c>
      <c r="T76" s="112">
        <f t="shared" si="22"/>
        <v>0.7704918032786886</v>
      </c>
      <c r="U76" s="112">
        <f t="shared" si="22"/>
        <v>0.79591836734693877</v>
      </c>
      <c r="V76" s="112">
        <f t="shared" si="22"/>
        <v>0.72</v>
      </c>
      <c r="W76" s="114">
        <f t="shared" si="22"/>
        <v>0.84375</v>
      </c>
      <c r="X76" s="113">
        <f t="shared" si="22"/>
        <v>0.78947368421052633</v>
      </c>
      <c r="Y76" s="112">
        <f t="shared" si="22"/>
        <v>0.70909090909090899</v>
      </c>
      <c r="Z76" s="112">
        <f t="shared" si="22"/>
        <v>0.73333333333333328</v>
      </c>
      <c r="AA76" s="112">
        <f t="shared" si="22"/>
        <v>0.77142857142857146</v>
      </c>
      <c r="AB76" s="112">
        <f t="shared" si="22"/>
        <v>0.6206896551724137</v>
      </c>
      <c r="AC76" s="112">
        <f t="shared" si="22"/>
        <v>0.63636363636363624</v>
      </c>
      <c r="AD76" s="112">
        <f t="shared" si="22"/>
        <v>0.73469387755102045</v>
      </c>
      <c r="AE76" s="114">
        <f t="shared" si="22"/>
        <v>0.71052631578947378</v>
      </c>
    </row>
    <row r="77" spans="1:31" s="89" customFormat="1">
      <c r="A77" s="89" t="s">
        <v>49</v>
      </c>
      <c r="B77" s="113">
        <f t="shared" ref="B77:Q77" si="23">B52/B$48</f>
        <v>0.55555555555555558</v>
      </c>
      <c r="C77" s="112">
        <f t="shared" si="23"/>
        <v>0.50877192982456143</v>
      </c>
      <c r="D77" s="112">
        <f t="shared" si="23"/>
        <v>0.46428571428571436</v>
      </c>
      <c r="E77" s="112">
        <f t="shared" si="23"/>
        <v>0.46511627906976744</v>
      </c>
      <c r="F77" s="112">
        <f t="shared" si="23"/>
        <v>0.47222222222222227</v>
      </c>
      <c r="G77" s="112">
        <f t="shared" si="23"/>
        <v>0.46341463414634154</v>
      </c>
      <c r="H77" s="112">
        <f t="shared" si="23"/>
        <v>0.49999999999999994</v>
      </c>
      <c r="I77" s="114">
        <f t="shared" si="23"/>
        <v>0.45945945945945943</v>
      </c>
      <c r="J77" s="113">
        <f t="shared" si="23"/>
        <v>0.7727272727272726</v>
      </c>
      <c r="K77" s="112">
        <f t="shared" si="23"/>
        <v>0.63157894736842113</v>
      </c>
      <c r="L77" s="112">
        <f t="shared" si="23"/>
        <v>0.70588235294117652</v>
      </c>
      <c r="M77" s="112">
        <f t="shared" si="23"/>
        <v>0.57407407407407407</v>
      </c>
      <c r="N77" s="112">
        <f t="shared" si="23"/>
        <v>0.73333333333333339</v>
      </c>
      <c r="O77" s="112">
        <f t="shared" si="23"/>
        <v>0.83333333333333337</v>
      </c>
      <c r="P77" s="112">
        <f t="shared" si="23"/>
        <v>0.85185185185185175</v>
      </c>
      <c r="Q77" s="114">
        <f t="shared" si="23"/>
        <v>0.72500000000000009</v>
      </c>
      <c r="R77" s="113">
        <f t="shared" ref="R77:AE77" si="24">R52/R$48</f>
        <v>0.67346938775510212</v>
      </c>
      <c r="S77" s="112">
        <f t="shared" si="24"/>
        <v>0.80681818181818188</v>
      </c>
      <c r="T77" s="112">
        <f t="shared" si="24"/>
        <v>0.81967213114754101</v>
      </c>
      <c r="U77" s="112">
        <f t="shared" si="24"/>
        <v>0.81632653061224503</v>
      </c>
      <c r="V77" s="112">
        <f t="shared" si="24"/>
        <v>0.7</v>
      </c>
      <c r="W77" s="114">
        <f t="shared" si="24"/>
        <v>0.78125</v>
      </c>
      <c r="X77" s="113">
        <f t="shared" si="24"/>
        <v>0.97368421052631593</v>
      </c>
      <c r="Y77" s="112">
        <f t="shared" si="24"/>
        <v>0.85454545454545461</v>
      </c>
      <c r="Z77" s="112">
        <f t="shared" si="24"/>
        <v>0.91111111111111098</v>
      </c>
      <c r="AA77" s="112">
        <f t="shared" si="24"/>
        <v>0.94285714285714284</v>
      </c>
      <c r="AB77" s="112">
        <f t="shared" si="24"/>
        <v>0.75862068965517238</v>
      </c>
      <c r="AC77" s="112">
        <f t="shared" si="24"/>
        <v>0.93939393939393934</v>
      </c>
      <c r="AD77" s="112">
        <f t="shared" si="24"/>
        <v>0.87755102040816335</v>
      </c>
      <c r="AE77" s="114">
        <f t="shared" si="24"/>
        <v>0.89473684210526305</v>
      </c>
    </row>
    <row r="78" spans="1:31" s="89" customFormat="1">
      <c r="A78" s="54" t="s">
        <v>50</v>
      </c>
      <c r="B78" s="113">
        <f t="shared" ref="B78:Q78" si="25">B53/B$48</f>
        <v>0.50000000000000011</v>
      </c>
      <c r="C78" s="112">
        <f t="shared" si="25"/>
        <v>0.50877192982456143</v>
      </c>
      <c r="D78" s="112">
        <f t="shared" si="25"/>
        <v>0.35714285714285715</v>
      </c>
      <c r="E78" s="112">
        <f t="shared" si="25"/>
        <v>0.46511627906976744</v>
      </c>
      <c r="F78" s="112">
        <f t="shared" si="25"/>
        <v>0.4166666666666668</v>
      </c>
      <c r="G78" s="112">
        <f t="shared" si="25"/>
        <v>0.46341463414634154</v>
      </c>
      <c r="H78" s="112">
        <f t="shared" si="25"/>
        <v>0.49999999999999994</v>
      </c>
      <c r="I78" s="114">
        <f t="shared" si="25"/>
        <v>0.48648648648648646</v>
      </c>
      <c r="J78" s="113">
        <f t="shared" si="25"/>
        <v>0.54545454545454541</v>
      </c>
      <c r="K78" s="112">
        <f t="shared" si="25"/>
        <v>0.60526315789473684</v>
      </c>
      <c r="L78" s="112">
        <f t="shared" si="25"/>
        <v>0.76470588235294124</v>
      </c>
      <c r="M78" s="112">
        <f t="shared" si="25"/>
        <v>0.48148148148148145</v>
      </c>
      <c r="N78" s="112">
        <f t="shared" si="25"/>
        <v>0.69999999999999984</v>
      </c>
      <c r="O78" s="112">
        <f t="shared" si="25"/>
        <v>0.76666666666666661</v>
      </c>
      <c r="P78" s="112">
        <f t="shared" si="25"/>
        <v>0.70370370370370372</v>
      </c>
      <c r="Q78" s="114">
        <f t="shared" si="25"/>
        <v>0.625</v>
      </c>
      <c r="R78" s="113">
        <f t="shared" ref="R78:AE78" si="26">R53/R$48</f>
        <v>0.71428571428571441</v>
      </c>
      <c r="S78" s="112">
        <f t="shared" si="26"/>
        <v>0.79545454545454553</v>
      </c>
      <c r="T78" s="112">
        <f t="shared" si="26"/>
        <v>0.78688524590163933</v>
      </c>
      <c r="U78" s="112">
        <f t="shared" si="26"/>
        <v>0.79591836734693877</v>
      </c>
      <c r="V78" s="112">
        <f t="shared" si="26"/>
        <v>0.72</v>
      </c>
      <c r="W78" s="114">
        <f t="shared" si="26"/>
        <v>0.81249999999999989</v>
      </c>
      <c r="X78" s="113">
        <f t="shared" si="26"/>
        <v>0.78947368421052633</v>
      </c>
      <c r="Y78" s="112">
        <f t="shared" si="26"/>
        <v>0.72727272727272729</v>
      </c>
      <c r="Z78" s="112">
        <f t="shared" si="26"/>
        <v>0.79999999999999993</v>
      </c>
      <c r="AA78" s="112">
        <f t="shared" si="26"/>
        <v>0.7857142857142857</v>
      </c>
      <c r="AB78" s="112">
        <f t="shared" si="26"/>
        <v>0.65517241379310343</v>
      </c>
      <c r="AC78" s="112">
        <f t="shared" si="26"/>
        <v>1.1818181818181817</v>
      </c>
      <c r="AD78" s="112">
        <f t="shared" si="26"/>
        <v>0.73469387755102045</v>
      </c>
      <c r="AE78" s="114">
        <f t="shared" si="26"/>
        <v>0.76315789473684226</v>
      </c>
    </row>
    <row r="79" spans="1:31" s="89" customFormat="1">
      <c r="A79" s="89" t="s">
        <v>51</v>
      </c>
      <c r="B79" s="113">
        <f t="shared" ref="B79:Q79" si="27">B54/B$48</f>
        <v>0.61111111111111116</v>
      </c>
      <c r="C79" s="112">
        <f t="shared" si="27"/>
        <v>0.47368421052631582</v>
      </c>
      <c r="D79" s="112">
        <f t="shared" si="27"/>
        <v>0.4285714285714286</v>
      </c>
      <c r="E79" s="112">
        <f t="shared" si="27"/>
        <v>0.44186046511627913</v>
      </c>
      <c r="F79" s="112">
        <f t="shared" si="27"/>
        <v>0.44444444444444448</v>
      </c>
      <c r="G79" s="112">
        <f t="shared" si="27"/>
        <v>0.5</v>
      </c>
      <c r="H79" s="112">
        <f t="shared" si="27"/>
        <v>0.46875000000000006</v>
      </c>
      <c r="I79" s="114">
        <f t="shared" si="27"/>
        <v>0.47297297297297303</v>
      </c>
      <c r="J79" s="113">
        <f t="shared" si="27"/>
        <v>0.59090909090909083</v>
      </c>
      <c r="K79" s="112">
        <f t="shared" si="27"/>
        <v>0.63157894736842113</v>
      </c>
      <c r="L79" s="112">
        <f t="shared" si="27"/>
        <v>0.91176470588235303</v>
      </c>
      <c r="M79" s="112">
        <f t="shared" si="27"/>
        <v>0.5370370370370372</v>
      </c>
      <c r="N79" s="112">
        <f t="shared" si="27"/>
        <v>0.73333333333333339</v>
      </c>
      <c r="O79" s="112">
        <f t="shared" si="27"/>
        <v>0.83333333333333337</v>
      </c>
      <c r="P79" s="112">
        <f t="shared" si="27"/>
        <v>0.62962962962962954</v>
      </c>
      <c r="Q79" s="114">
        <f t="shared" si="27"/>
        <v>0.64999999999999991</v>
      </c>
      <c r="R79" s="113">
        <f t="shared" ref="R79:AE79" si="28">R54/R$48</f>
        <v>0.73469387755102045</v>
      </c>
      <c r="S79" s="112">
        <f t="shared" si="28"/>
        <v>0.77272727272727271</v>
      </c>
      <c r="T79" s="112">
        <f t="shared" si="28"/>
        <v>0.88524590163934425</v>
      </c>
      <c r="U79" s="112">
        <f t="shared" si="28"/>
        <v>0.81632653061224503</v>
      </c>
      <c r="V79" s="112">
        <f t="shared" si="28"/>
        <v>0.74</v>
      </c>
      <c r="W79" s="114">
        <f t="shared" si="28"/>
        <v>0.79687499999999989</v>
      </c>
      <c r="X79" s="113">
        <f t="shared" si="28"/>
        <v>0.81578947368421051</v>
      </c>
      <c r="Y79" s="112">
        <f t="shared" si="28"/>
        <v>0.72727272727272729</v>
      </c>
      <c r="Z79" s="112">
        <f t="shared" si="28"/>
        <v>0.77777777777777779</v>
      </c>
      <c r="AA79" s="112">
        <f t="shared" si="28"/>
        <v>0.79999999999999993</v>
      </c>
      <c r="AB79" s="112">
        <f t="shared" si="28"/>
        <v>0.70689655172413779</v>
      </c>
      <c r="AC79" s="112">
        <f t="shared" si="28"/>
        <v>1.2424242424242424</v>
      </c>
      <c r="AD79" s="112">
        <f t="shared" si="28"/>
        <v>0.77551020408163274</v>
      </c>
      <c r="AE79" s="114">
        <f t="shared" si="28"/>
        <v>0.78947368421052633</v>
      </c>
    </row>
    <row r="80" spans="1:31" s="89" customFormat="1">
      <c r="A80" s="89" t="s">
        <v>52</v>
      </c>
      <c r="B80" s="113">
        <f t="shared" ref="B80:Q80" si="29">B55/B$48</f>
        <v>0.50000000000000011</v>
      </c>
      <c r="C80" s="112">
        <f t="shared" si="29"/>
        <v>0.4561403508771929</v>
      </c>
      <c r="D80" s="112">
        <f t="shared" si="29"/>
        <v>0.32142857142857151</v>
      </c>
      <c r="E80" s="112">
        <f t="shared" si="29"/>
        <v>0.39534883720930231</v>
      </c>
      <c r="F80" s="112">
        <f t="shared" si="29"/>
        <v>0.44444444444444448</v>
      </c>
      <c r="G80" s="112">
        <f t="shared" si="29"/>
        <v>0.3902439024390244</v>
      </c>
      <c r="H80" s="112">
        <f t="shared" si="29"/>
        <v>0.40625</v>
      </c>
      <c r="I80" s="114">
        <f t="shared" si="29"/>
        <v>0.3783783783783784</v>
      </c>
      <c r="J80" s="113">
        <f t="shared" si="29"/>
        <v>0.59090909090909083</v>
      </c>
      <c r="K80" s="112">
        <f t="shared" si="29"/>
        <v>0.63157894736842113</v>
      </c>
      <c r="L80" s="112">
        <f t="shared" si="29"/>
        <v>0.6470588235294118</v>
      </c>
      <c r="M80" s="112">
        <f t="shared" si="29"/>
        <v>0.5370370370370372</v>
      </c>
      <c r="N80" s="112">
        <f t="shared" si="29"/>
        <v>0.7533333333333333</v>
      </c>
      <c r="O80" s="112">
        <f t="shared" si="29"/>
        <v>0.83333333333333337</v>
      </c>
      <c r="P80" s="112">
        <f t="shared" si="29"/>
        <v>0.77777777777777757</v>
      </c>
      <c r="Q80" s="114">
        <f t="shared" si="29"/>
        <v>0.625</v>
      </c>
      <c r="R80" s="113">
        <f t="shared" ref="R80:AE80" si="30">R55/R$48</f>
        <v>0.62448979591836729</v>
      </c>
      <c r="S80" s="112">
        <f t="shared" si="30"/>
        <v>0.75</v>
      </c>
      <c r="T80" s="112">
        <f t="shared" si="30"/>
        <v>0.73770491803278693</v>
      </c>
      <c r="U80" s="112">
        <f t="shared" si="30"/>
        <v>0.79591836734693877</v>
      </c>
      <c r="V80" s="112">
        <f t="shared" si="30"/>
        <v>0.72</v>
      </c>
      <c r="W80" s="114">
        <f t="shared" si="30"/>
        <v>0.71874999999999989</v>
      </c>
      <c r="X80" s="113">
        <f t="shared" si="30"/>
        <v>0.94736842105263153</v>
      </c>
      <c r="Y80" s="112">
        <f t="shared" si="30"/>
        <v>0.83636363636363631</v>
      </c>
      <c r="Z80" s="112">
        <f t="shared" si="30"/>
        <v>0.93333333333333335</v>
      </c>
      <c r="AA80" s="112">
        <f t="shared" si="30"/>
        <v>0.97142857142857131</v>
      </c>
      <c r="AB80" s="112">
        <f t="shared" si="30"/>
        <v>0.72413793103448254</v>
      </c>
      <c r="AC80" s="112">
        <f t="shared" si="30"/>
        <v>0.69696969696969691</v>
      </c>
      <c r="AD80" s="112">
        <f t="shared" si="30"/>
        <v>0.85714285714285732</v>
      </c>
      <c r="AE80" s="114">
        <f t="shared" si="30"/>
        <v>0.8421052631578948</v>
      </c>
    </row>
    <row r="81" spans="1:31" s="89" customFormat="1">
      <c r="A81" s="89" t="s">
        <v>53</v>
      </c>
      <c r="B81" s="113">
        <f t="shared" ref="B81:Q81" si="31">B56/B$48</f>
        <v>0.50000000000000011</v>
      </c>
      <c r="C81" s="112">
        <f t="shared" si="31"/>
        <v>0.43859649122807015</v>
      </c>
      <c r="D81" s="112">
        <f t="shared" si="31"/>
        <v>0.32142857142857151</v>
      </c>
      <c r="E81" s="112">
        <f t="shared" si="31"/>
        <v>0.39534883720930231</v>
      </c>
      <c r="F81" s="112">
        <f t="shared" si="31"/>
        <v>0.38888888888888895</v>
      </c>
      <c r="G81" s="112">
        <f t="shared" si="31"/>
        <v>0.3902439024390244</v>
      </c>
      <c r="H81" s="112">
        <f t="shared" si="31"/>
        <v>0.37499999999999994</v>
      </c>
      <c r="I81" s="114">
        <f t="shared" si="31"/>
        <v>0.35135135135135137</v>
      </c>
      <c r="J81" s="113">
        <f t="shared" si="31"/>
        <v>0.40909090909090912</v>
      </c>
      <c r="K81" s="112">
        <f t="shared" si="31"/>
        <v>0.47368421052631582</v>
      </c>
      <c r="L81" s="112">
        <f t="shared" si="31"/>
        <v>0.52941176470588247</v>
      </c>
      <c r="M81" s="112">
        <f t="shared" si="31"/>
        <v>0.46296296296296302</v>
      </c>
      <c r="N81" s="112">
        <f t="shared" si="31"/>
        <v>0.66666666666666663</v>
      </c>
      <c r="O81" s="112">
        <f t="shared" si="31"/>
        <v>0.83333333333333337</v>
      </c>
      <c r="P81" s="112">
        <f t="shared" si="31"/>
        <v>0.66666666666666663</v>
      </c>
      <c r="Q81" s="114">
        <f t="shared" si="31"/>
        <v>0.625</v>
      </c>
      <c r="R81" s="113">
        <f t="shared" ref="R81:AE81" si="32">R56/R$48</f>
        <v>0.65306122448979598</v>
      </c>
      <c r="S81" s="112">
        <f t="shared" si="32"/>
        <v>0.70454545454545459</v>
      </c>
      <c r="T81" s="112">
        <f t="shared" si="32"/>
        <v>0.88524590163934425</v>
      </c>
      <c r="U81" s="112">
        <f t="shared" si="32"/>
        <v>0.87755102040816335</v>
      </c>
      <c r="V81" s="112">
        <f t="shared" si="32"/>
        <v>0.72</v>
      </c>
      <c r="W81" s="114">
        <f t="shared" si="32"/>
        <v>0.71874999999999989</v>
      </c>
      <c r="X81" s="113">
        <f t="shared" si="32"/>
        <v>0.86842105263157898</v>
      </c>
      <c r="Y81" s="112">
        <f t="shared" si="32"/>
        <v>0.79999999999999993</v>
      </c>
      <c r="Z81" s="112">
        <f t="shared" si="32"/>
        <v>0.86666666666666659</v>
      </c>
      <c r="AA81" s="112">
        <f t="shared" si="32"/>
        <v>0.82857142857142863</v>
      </c>
      <c r="AB81" s="112">
        <f t="shared" si="32"/>
        <v>0.58620689655172409</v>
      </c>
      <c r="AC81" s="112">
        <f t="shared" si="32"/>
        <v>0.60606060606060608</v>
      </c>
      <c r="AD81" s="112">
        <f t="shared" si="32"/>
        <v>0.73469387755102045</v>
      </c>
      <c r="AE81" s="114">
        <f t="shared" si="32"/>
        <v>0.73684210526315785</v>
      </c>
    </row>
    <row r="82" spans="1:31">
      <c r="A82" s="54" t="s">
        <v>57</v>
      </c>
      <c r="B82" s="113">
        <f t="shared" ref="B82:Q82" si="33">B57/B$48</f>
        <v>0.50000000000000011</v>
      </c>
      <c r="C82" s="112">
        <f t="shared" si="33"/>
        <v>0.40350877192982454</v>
      </c>
      <c r="D82" s="112">
        <f t="shared" si="33"/>
        <v>0.32142857142857151</v>
      </c>
      <c r="E82" s="112">
        <f t="shared" si="33"/>
        <v>0.37209302325581395</v>
      </c>
      <c r="F82" s="112">
        <f t="shared" si="33"/>
        <v>0.4166666666666668</v>
      </c>
      <c r="G82" s="112">
        <f t="shared" si="33"/>
        <v>0.34146341463414642</v>
      </c>
      <c r="H82" s="112">
        <f t="shared" si="33"/>
        <v>0.4375</v>
      </c>
      <c r="I82" s="114">
        <f t="shared" si="33"/>
        <v>0.40540540540540543</v>
      </c>
      <c r="J82" s="113">
        <f t="shared" si="33"/>
        <v>0.68181818181818188</v>
      </c>
      <c r="K82" s="112">
        <f t="shared" si="33"/>
        <v>0.55263157894736836</v>
      </c>
      <c r="L82" s="112">
        <f t="shared" si="33"/>
        <v>0.6470588235294118</v>
      </c>
      <c r="M82" s="112">
        <f t="shared" si="33"/>
        <v>0.5370370370370372</v>
      </c>
      <c r="N82" s="112">
        <f t="shared" si="33"/>
        <v>0.80000000000000016</v>
      </c>
      <c r="O82" s="112">
        <f t="shared" si="33"/>
        <v>0.96666666666666679</v>
      </c>
      <c r="P82" s="112">
        <f t="shared" si="33"/>
        <v>0.7407407407407407</v>
      </c>
      <c r="Q82" s="114">
        <f t="shared" si="33"/>
        <v>0.7</v>
      </c>
      <c r="R82" s="113">
        <f t="shared" ref="R82:AE82" si="34">R57/R$48</f>
        <v>0.60204081632653073</v>
      </c>
      <c r="S82" s="112">
        <f t="shared" si="34"/>
        <v>0.67500000000000004</v>
      </c>
      <c r="T82" s="112">
        <f t="shared" si="34"/>
        <v>0.88524590163934425</v>
      </c>
      <c r="U82" s="112">
        <f t="shared" si="34"/>
        <v>0.83673469387755106</v>
      </c>
      <c r="V82" s="112">
        <f t="shared" si="34"/>
        <v>0.77999999999999992</v>
      </c>
      <c r="W82" s="114">
        <f t="shared" si="34"/>
        <v>0.75000000000000011</v>
      </c>
      <c r="X82" s="113">
        <f t="shared" si="34"/>
        <v>1.0526315789473684</v>
      </c>
      <c r="Y82" s="112">
        <f t="shared" si="34"/>
        <v>0.94545454545454544</v>
      </c>
      <c r="Z82" s="112">
        <f t="shared" si="34"/>
        <v>1.1555555555555557</v>
      </c>
      <c r="AA82" s="112">
        <f t="shared" si="34"/>
        <v>1</v>
      </c>
      <c r="AB82" s="112">
        <f t="shared" si="34"/>
        <v>0.68965517241379304</v>
      </c>
      <c r="AC82" s="112">
        <f t="shared" si="34"/>
        <v>1</v>
      </c>
      <c r="AD82" s="112">
        <f t="shared" si="34"/>
        <v>0.89795918367346939</v>
      </c>
      <c r="AE82" s="114">
        <f t="shared" si="34"/>
        <v>1</v>
      </c>
    </row>
    <row r="83" spans="1:31">
      <c r="A83" s="54" t="s">
        <v>58</v>
      </c>
      <c r="B83" s="113">
        <f t="shared" ref="B83:Q83" si="35">B58/B$48</f>
        <v>0.50000000000000011</v>
      </c>
      <c r="C83" s="112">
        <f t="shared" si="35"/>
        <v>0.40350877192982454</v>
      </c>
      <c r="D83" s="112">
        <f t="shared" si="35"/>
        <v>0.17857142857142858</v>
      </c>
      <c r="E83" s="112">
        <f t="shared" si="35"/>
        <v>0.39534883720930231</v>
      </c>
      <c r="F83" s="112">
        <f t="shared" si="35"/>
        <v>0.36111111111111116</v>
      </c>
      <c r="G83" s="112">
        <f t="shared" si="35"/>
        <v>0.36585365853658547</v>
      </c>
      <c r="H83" s="112">
        <f t="shared" si="35"/>
        <v>0.37499999999999994</v>
      </c>
      <c r="I83" s="114">
        <f t="shared" si="35"/>
        <v>0.32432432432432429</v>
      </c>
      <c r="J83" s="113">
        <f t="shared" si="35"/>
        <v>0.5</v>
      </c>
      <c r="K83" s="112">
        <f t="shared" si="35"/>
        <v>0.47368421052631582</v>
      </c>
      <c r="L83" s="112">
        <f t="shared" si="35"/>
        <v>0.52941176470588247</v>
      </c>
      <c r="M83" s="112">
        <f t="shared" si="35"/>
        <v>0.50000000000000011</v>
      </c>
      <c r="N83" s="112">
        <f t="shared" si="35"/>
        <v>0.6</v>
      </c>
      <c r="O83" s="112">
        <f t="shared" si="35"/>
        <v>0.80000000000000016</v>
      </c>
      <c r="P83" s="112">
        <f t="shared" si="35"/>
        <v>0.51851851851851849</v>
      </c>
      <c r="Q83" s="114">
        <f t="shared" si="35"/>
        <v>0.52499999999999991</v>
      </c>
      <c r="R83" s="113">
        <f t="shared" ref="R83:W83" si="36">R58/R$48</f>
        <v>0.77551020408163274</v>
      </c>
      <c r="S83" s="112">
        <f t="shared" si="36"/>
        <v>0.77272727272727271</v>
      </c>
      <c r="T83" s="112">
        <f t="shared" si="36"/>
        <v>0.98360655737704927</v>
      </c>
      <c r="U83" s="112">
        <f t="shared" si="36"/>
        <v>0.87755102040816335</v>
      </c>
      <c r="V83" s="112">
        <f t="shared" si="36"/>
        <v>0.82</v>
      </c>
      <c r="W83" s="114">
        <f t="shared" si="36"/>
        <v>0.84375</v>
      </c>
      <c r="X83" s="113">
        <f t="shared" ref="X83:AE87" si="37">X58/X$48</f>
        <v>1</v>
      </c>
      <c r="Y83" s="112">
        <f t="shared" si="37"/>
        <v>0.41818181818181815</v>
      </c>
      <c r="Z83" s="112">
        <f t="shared" si="37"/>
        <v>0.95555555555555549</v>
      </c>
      <c r="AA83" s="112">
        <f t="shared" si="37"/>
        <v>0.8571428571428571</v>
      </c>
      <c r="AB83" s="112">
        <f t="shared" si="37"/>
        <v>0.65517241379310343</v>
      </c>
      <c r="AC83" s="112">
        <f t="shared" si="37"/>
        <v>0.60606060606060608</v>
      </c>
      <c r="AD83" s="112">
        <f t="shared" si="37"/>
        <v>0.77551020408163274</v>
      </c>
      <c r="AE83" s="114">
        <f t="shared" si="37"/>
        <v>0.81578947368421051</v>
      </c>
    </row>
    <row r="84" spans="1:31">
      <c r="A84" s="89" t="s">
        <v>59</v>
      </c>
      <c r="B84" s="113">
        <f t="shared" ref="B84:Q84" si="38">B59/B$48</f>
        <v>0.50000000000000011</v>
      </c>
      <c r="C84" s="112">
        <f t="shared" si="38"/>
        <v>0.4561403508771929</v>
      </c>
      <c r="D84" s="112">
        <f t="shared" si="38"/>
        <v>0.21428571428571433</v>
      </c>
      <c r="E84" s="112">
        <f t="shared" si="38"/>
        <v>0.39534883720930231</v>
      </c>
      <c r="F84" s="112">
        <f t="shared" si="38"/>
        <v>0.38888888888888895</v>
      </c>
      <c r="G84" s="112">
        <f t="shared" si="38"/>
        <v>0.3902439024390244</v>
      </c>
      <c r="H84" s="112">
        <f t="shared" si="38"/>
        <v>0.40625</v>
      </c>
      <c r="I84" s="114">
        <f t="shared" si="38"/>
        <v>0.35135135135135137</v>
      </c>
      <c r="J84" s="113">
        <f t="shared" si="38"/>
        <v>0.52727272727272734</v>
      </c>
      <c r="K84" s="112">
        <f t="shared" si="38"/>
        <v>0.23684210526315794</v>
      </c>
      <c r="L84" s="112">
        <f t="shared" si="38"/>
        <v>0.76470588235294124</v>
      </c>
      <c r="M84" s="112">
        <f t="shared" si="38"/>
        <v>0.56481481481481488</v>
      </c>
      <c r="N84" s="112">
        <f t="shared" si="38"/>
        <v>0.83333333333333337</v>
      </c>
      <c r="O84" s="112">
        <f t="shared" si="38"/>
        <v>1.05</v>
      </c>
      <c r="P84" s="112">
        <f t="shared" si="38"/>
        <v>0.70370370370370372</v>
      </c>
      <c r="Q84" s="114">
        <f t="shared" si="38"/>
        <v>0.64999999999999991</v>
      </c>
      <c r="R84" s="113">
        <f t="shared" ref="R84:W84" si="39">R59/R$48</f>
        <v>0.77551020408163274</v>
      </c>
      <c r="S84" s="112">
        <f t="shared" si="39"/>
        <v>0.75</v>
      </c>
      <c r="T84" s="112">
        <f t="shared" si="39"/>
        <v>1.0491803278688525</v>
      </c>
      <c r="U84" s="112">
        <f t="shared" si="39"/>
        <v>0.93877551020408168</v>
      </c>
      <c r="V84" s="112">
        <f t="shared" si="39"/>
        <v>0.87999999999999989</v>
      </c>
      <c r="W84" s="114">
        <f t="shared" si="39"/>
        <v>0.84375</v>
      </c>
      <c r="X84" s="113">
        <f t="shared" si="37"/>
        <v>1.0526315789473684</v>
      </c>
      <c r="Y84" s="112">
        <f t="shared" si="37"/>
        <v>1</v>
      </c>
      <c r="Z84" s="112">
        <f t="shared" si="37"/>
        <v>1.2444444444444445</v>
      </c>
      <c r="AA84" s="112">
        <f t="shared" si="37"/>
        <v>1.0857142857142856</v>
      </c>
      <c r="AB84" s="112">
        <f t="shared" si="37"/>
        <v>0.68965517241379304</v>
      </c>
      <c r="AC84" s="112">
        <f t="shared" si="37"/>
        <v>0.63636363636363624</v>
      </c>
      <c r="AD84" s="112">
        <f t="shared" si="37"/>
        <v>0.93061224489795924</v>
      </c>
      <c r="AE84" s="114">
        <f t="shared" si="37"/>
        <v>0.92105263157894746</v>
      </c>
    </row>
    <row r="85" spans="1:31">
      <c r="A85" s="89" t="s">
        <v>60</v>
      </c>
      <c r="B85" s="113">
        <f t="shared" ref="B85:Q85" si="40">B60/B$48</f>
        <v>0.50000000000000011</v>
      </c>
      <c r="C85" s="112">
        <f t="shared" si="40"/>
        <v>0.47368421052631582</v>
      </c>
      <c r="D85" s="112">
        <f t="shared" si="40"/>
        <v>0.17857142857142858</v>
      </c>
      <c r="E85" s="112">
        <f t="shared" si="40"/>
        <v>0.41860465116279072</v>
      </c>
      <c r="F85" s="112">
        <f t="shared" si="40"/>
        <v>0.38888888888888895</v>
      </c>
      <c r="G85" s="112">
        <f t="shared" si="40"/>
        <v>0.36585365853658547</v>
      </c>
      <c r="H85" s="112">
        <f t="shared" si="40"/>
        <v>0.45625000000000004</v>
      </c>
      <c r="I85" s="114">
        <f t="shared" si="40"/>
        <v>0.40540540540540543</v>
      </c>
      <c r="J85" s="113">
        <f t="shared" si="40"/>
        <v>0.43181818181818177</v>
      </c>
      <c r="K85" s="112">
        <f t="shared" si="40"/>
        <v>0.52631578947368418</v>
      </c>
      <c r="L85" s="112">
        <f t="shared" si="40"/>
        <v>0.55882352941176472</v>
      </c>
      <c r="M85" s="112">
        <f t="shared" si="40"/>
        <v>0.47222222222222221</v>
      </c>
      <c r="N85" s="112">
        <f t="shared" si="40"/>
        <v>0.62333333333333329</v>
      </c>
      <c r="O85" s="112">
        <f t="shared" si="40"/>
        <v>0.86666666666666659</v>
      </c>
      <c r="P85" s="112">
        <f t="shared" si="40"/>
        <v>0.55555555555555558</v>
      </c>
      <c r="Q85" s="114">
        <f t="shared" si="40"/>
        <v>0.54249999999999998</v>
      </c>
      <c r="R85" s="113">
        <f t="shared" ref="R85:W85" si="41">R60/R$48</f>
        <v>0.76530612244897966</v>
      </c>
      <c r="S85" s="112">
        <f t="shared" si="41"/>
        <v>0.88636363636363635</v>
      </c>
      <c r="T85" s="112">
        <f t="shared" si="41"/>
        <v>1.1147540983606559</v>
      </c>
      <c r="U85" s="112">
        <f t="shared" si="41"/>
        <v>0.93877551020408168</v>
      </c>
      <c r="V85" s="112">
        <f t="shared" si="41"/>
        <v>0.94000000000000006</v>
      </c>
      <c r="W85" s="114">
        <f t="shared" si="41"/>
        <v>0.90625000000000011</v>
      </c>
      <c r="X85" s="113">
        <f t="shared" si="37"/>
        <v>0.89473684210526305</v>
      </c>
      <c r="Y85" s="112">
        <f t="shared" si="37"/>
        <v>0.89090909090909076</v>
      </c>
      <c r="Z85" s="112">
        <f t="shared" si="37"/>
        <v>1.1555555555555557</v>
      </c>
      <c r="AA85" s="112">
        <f t="shared" si="37"/>
        <v>0.94285714285714284</v>
      </c>
      <c r="AB85" s="112">
        <f t="shared" si="37"/>
        <v>0.17241379310344826</v>
      </c>
      <c r="AC85" s="112">
        <f t="shared" si="37"/>
        <v>0.59090909090909094</v>
      </c>
      <c r="AD85" s="112">
        <f t="shared" si="37"/>
        <v>0.79591836734693877</v>
      </c>
      <c r="AE85" s="114">
        <f t="shared" si="37"/>
        <v>0.76315789473684226</v>
      </c>
    </row>
    <row r="86" spans="1:31">
      <c r="A86" s="89" t="s">
        <v>61</v>
      </c>
      <c r="B86" s="113">
        <f t="shared" ref="B86:Q87" si="42">B61/B$48</f>
        <v>0.50000000000000011</v>
      </c>
      <c r="C86" s="112">
        <f t="shared" si="42"/>
        <v>0.54385964912280693</v>
      </c>
      <c r="D86" s="112">
        <f t="shared" si="42"/>
        <v>0.17857142857142858</v>
      </c>
      <c r="E86" s="112">
        <f t="shared" si="42"/>
        <v>0.44186046511627913</v>
      </c>
      <c r="F86" s="112">
        <f t="shared" si="42"/>
        <v>0.4166666666666668</v>
      </c>
      <c r="G86" s="112">
        <f t="shared" si="42"/>
        <v>0.36585365853658547</v>
      </c>
      <c r="H86" s="112">
        <f t="shared" si="42"/>
        <v>0.53125</v>
      </c>
      <c r="I86" s="114">
        <f t="shared" si="42"/>
        <v>0.3783783783783784</v>
      </c>
      <c r="J86" s="113">
        <f t="shared" si="42"/>
        <v>0.59090909090909083</v>
      </c>
      <c r="K86" s="112">
        <f t="shared" si="42"/>
        <v>0.52631578947368418</v>
      </c>
      <c r="L86" s="112">
        <f t="shared" si="42"/>
        <v>0.6470588235294118</v>
      </c>
      <c r="M86" s="112">
        <f t="shared" si="42"/>
        <v>0.58333333333333348</v>
      </c>
      <c r="N86" s="112">
        <f t="shared" si="42"/>
        <v>0.9</v>
      </c>
      <c r="O86" s="112">
        <f t="shared" si="42"/>
        <v>1.1333333333333331</v>
      </c>
      <c r="P86" s="112">
        <f t="shared" si="42"/>
        <v>0.70370370370370372</v>
      </c>
      <c r="Q86" s="114">
        <f t="shared" si="42"/>
        <v>0.67500000000000004</v>
      </c>
      <c r="R86" s="113">
        <f t="shared" ref="R86:W87" si="43">R61/R$48</f>
        <v>0.7551020408163267</v>
      </c>
      <c r="S86" s="112">
        <f t="shared" si="43"/>
        <v>0.86363636363636365</v>
      </c>
      <c r="T86" s="112">
        <f t="shared" si="43"/>
        <v>1.2459016393442623</v>
      </c>
      <c r="U86" s="112">
        <f t="shared" si="43"/>
        <v>0.96938775510204089</v>
      </c>
      <c r="V86" s="112">
        <f t="shared" si="43"/>
        <v>1.02</v>
      </c>
      <c r="W86" s="114">
        <f t="shared" si="43"/>
        <v>1.0312499999999998</v>
      </c>
      <c r="X86" s="113">
        <f t="shared" si="37"/>
        <v>1.0526315789473684</v>
      </c>
      <c r="Y86" s="112">
        <f t="shared" si="37"/>
        <v>1.3090909090909091</v>
      </c>
      <c r="Z86" s="112">
        <f t="shared" si="37"/>
        <v>1.3644444444444443</v>
      </c>
      <c r="AA86" s="112">
        <f t="shared" si="37"/>
        <v>1.1142857142857141</v>
      </c>
      <c r="AB86" s="112">
        <f t="shared" si="37"/>
        <v>0.72413793103448254</v>
      </c>
      <c r="AC86" s="112">
        <f t="shared" si="37"/>
        <v>0.69696969696969691</v>
      </c>
      <c r="AD86" s="112">
        <f t="shared" si="37"/>
        <v>0.93877551020408168</v>
      </c>
      <c r="AE86" s="114">
        <f t="shared" si="37"/>
        <v>0.86842105263157898</v>
      </c>
    </row>
    <row r="87" spans="1:31">
      <c r="A87" s="89" t="s">
        <v>62</v>
      </c>
      <c r="B87" s="113">
        <f t="shared" si="42"/>
        <v>0.50000000000000011</v>
      </c>
      <c r="C87" s="112">
        <f t="shared" si="42"/>
        <v>0.54385964912280693</v>
      </c>
      <c r="D87" s="112">
        <f t="shared" si="42"/>
        <v>0.17857142857142858</v>
      </c>
      <c r="E87" s="112">
        <f t="shared" si="42"/>
        <v>0.41860465116279072</v>
      </c>
      <c r="F87" s="112">
        <f t="shared" si="42"/>
        <v>0.4166666666666668</v>
      </c>
      <c r="G87" s="112">
        <f t="shared" si="42"/>
        <v>0.3902439024390244</v>
      </c>
      <c r="H87" s="112">
        <f t="shared" si="42"/>
        <v>0.4375</v>
      </c>
      <c r="I87" s="114">
        <f t="shared" si="42"/>
        <v>0.41891891891891891</v>
      </c>
      <c r="J87" s="113">
        <f t="shared" si="42"/>
        <v>0.45454545454545453</v>
      </c>
      <c r="K87" s="112">
        <f t="shared" si="42"/>
        <v>0.44736842105263158</v>
      </c>
      <c r="L87" s="112">
        <f t="shared" si="42"/>
        <v>0.4705882352941177</v>
      </c>
      <c r="M87" s="112">
        <f t="shared" si="42"/>
        <v>0.5370370370370372</v>
      </c>
      <c r="N87" s="112">
        <f t="shared" si="42"/>
        <v>0.73333333333333339</v>
      </c>
      <c r="O87" s="112">
        <f t="shared" si="42"/>
        <v>1.05</v>
      </c>
      <c r="P87" s="112">
        <f t="shared" si="42"/>
        <v>0.62962962962962954</v>
      </c>
      <c r="Q87" s="114">
        <f t="shared" si="42"/>
        <v>0.64999999999999991</v>
      </c>
      <c r="R87" s="113">
        <f t="shared" si="43"/>
        <v>0.79591836734693877</v>
      </c>
      <c r="S87" s="112">
        <f t="shared" si="43"/>
        <v>0.88636363636363635</v>
      </c>
      <c r="T87" s="112">
        <f t="shared" si="43"/>
        <v>1.4262295081967216</v>
      </c>
      <c r="U87" s="112">
        <f t="shared" si="43"/>
        <v>1.142857142857143</v>
      </c>
      <c r="V87" s="112">
        <f t="shared" si="43"/>
        <v>1.06</v>
      </c>
      <c r="W87" s="114">
        <f t="shared" si="43"/>
        <v>1.0624999999999998</v>
      </c>
      <c r="X87" s="113">
        <f t="shared" si="37"/>
        <v>0.97368421052631593</v>
      </c>
      <c r="Y87" s="112">
        <f t="shared" si="37"/>
        <v>0.9818181818181817</v>
      </c>
      <c r="Z87" s="112">
        <f t="shared" si="37"/>
        <v>1.4</v>
      </c>
      <c r="AA87" s="112">
        <f t="shared" si="37"/>
        <v>1.0571428571428572</v>
      </c>
      <c r="AB87" s="112">
        <f t="shared" si="37"/>
        <v>0.65517241379310343</v>
      </c>
      <c r="AC87" s="112">
        <f t="shared" si="37"/>
        <v>1</v>
      </c>
      <c r="AD87" s="112">
        <f t="shared" si="37"/>
        <v>0.83673469387755106</v>
      </c>
      <c r="AE87" s="114">
        <f t="shared" si="37"/>
        <v>0.78947368421052633</v>
      </c>
    </row>
    <row r="88" spans="1:31">
      <c r="A88" s="89"/>
      <c r="B88" s="113"/>
      <c r="C88" s="112"/>
      <c r="D88" s="112"/>
      <c r="E88" s="112"/>
      <c r="F88" s="112"/>
      <c r="G88" s="112"/>
      <c r="H88" s="112"/>
      <c r="I88" s="114"/>
      <c r="J88" s="113"/>
      <c r="K88" s="112"/>
      <c r="L88" s="112"/>
      <c r="M88" s="112"/>
      <c r="N88" s="112"/>
      <c r="O88" s="112"/>
      <c r="P88" s="112"/>
      <c r="Q88" s="114"/>
      <c r="R88" s="113"/>
      <c r="S88" s="112"/>
      <c r="T88" s="112"/>
      <c r="U88" s="112"/>
      <c r="V88" s="112"/>
      <c r="W88" s="114"/>
      <c r="X88" s="113"/>
      <c r="Y88" s="112"/>
      <c r="Z88" s="112"/>
      <c r="AA88" s="112"/>
      <c r="AB88" s="112"/>
      <c r="AC88" s="112"/>
      <c r="AD88" s="112"/>
      <c r="AE88" s="114"/>
    </row>
    <row r="89" spans="1:31" ht="19" thickBot="1">
      <c r="B89" s="73"/>
      <c r="C89" s="74"/>
      <c r="D89" s="74"/>
      <c r="E89" s="74"/>
      <c r="F89" s="74"/>
      <c r="G89" s="74"/>
      <c r="H89" s="74"/>
      <c r="I89" s="75"/>
      <c r="J89" s="73"/>
      <c r="K89" s="74"/>
      <c r="L89" s="74"/>
      <c r="M89" s="74"/>
      <c r="N89" s="74"/>
      <c r="O89" s="74"/>
      <c r="P89" s="74"/>
      <c r="Q89" s="75"/>
      <c r="R89" s="73"/>
      <c r="S89" s="74"/>
      <c r="T89" s="74"/>
      <c r="U89" s="74"/>
      <c r="V89" s="74"/>
      <c r="W89" s="75"/>
      <c r="X89" s="73"/>
      <c r="Y89" s="74"/>
      <c r="Z89" s="74"/>
      <c r="AA89" s="74"/>
      <c r="AB89" s="74"/>
      <c r="AC89" s="74"/>
      <c r="AD89" s="74"/>
      <c r="AE89" s="75"/>
    </row>
    <row r="90" spans="1:31">
      <c r="A90" s="89"/>
    </row>
    <row r="91" spans="1:31">
      <c r="A91" s="89"/>
    </row>
    <row r="92" spans="1:31" ht="19" thickBot="1"/>
    <row r="93" spans="1:31" ht="19" thickBot="1">
      <c r="A93" s="63" t="s">
        <v>45</v>
      </c>
      <c r="B93" s="218" t="s">
        <v>30</v>
      </c>
      <c r="C93" s="219"/>
      <c r="D93" s="219"/>
      <c r="E93" s="219"/>
      <c r="F93" s="219"/>
      <c r="G93" s="219"/>
      <c r="H93" s="219"/>
      <c r="I93" s="220"/>
      <c r="J93" s="218" t="s">
        <v>31</v>
      </c>
      <c r="K93" s="219"/>
      <c r="L93" s="219"/>
      <c r="M93" s="219"/>
      <c r="N93" s="219"/>
      <c r="O93" s="219"/>
      <c r="P93" s="219"/>
      <c r="Q93" s="220"/>
      <c r="R93" s="218" t="s">
        <v>32</v>
      </c>
      <c r="S93" s="219"/>
      <c r="T93" s="219"/>
      <c r="U93" s="219"/>
      <c r="V93" s="219"/>
      <c r="W93" s="220"/>
      <c r="X93" s="218" t="s">
        <v>43</v>
      </c>
      <c r="Y93" s="219"/>
      <c r="Z93" s="219"/>
      <c r="AA93" s="219"/>
      <c r="AB93" s="219"/>
      <c r="AC93" s="219"/>
      <c r="AD93" s="219"/>
      <c r="AE93" s="220"/>
    </row>
    <row r="94" spans="1:31" ht="19" thickBot="1">
      <c r="A94" s="63"/>
      <c r="B94" s="198" t="s">
        <v>22</v>
      </c>
      <c r="C94" s="199"/>
      <c r="D94" s="199"/>
      <c r="E94" s="199"/>
      <c r="F94" s="199"/>
      <c r="G94" s="199"/>
      <c r="H94" s="199"/>
      <c r="I94" s="200"/>
      <c r="J94" s="198" t="s">
        <v>34</v>
      </c>
      <c r="K94" s="199"/>
      <c r="L94" s="199"/>
      <c r="M94" s="199"/>
      <c r="N94" s="199"/>
      <c r="O94" s="199"/>
      <c r="P94" s="199"/>
      <c r="Q94" s="200"/>
      <c r="R94" s="201" t="s">
        <v>24</v>
      </c>
      <c r="S94" s="202"/>
      <c r="T94" s="202"/>
      <c r="U94" s="202"/>
      <c r="V94" s="202"/>
      <c r="W94" s="203"/>
      <c r="X94" s="204" t="s">
        <v>21</v>
      </c>
      <c r="Y94" s="205"/>
      <c r="Z94" s="205"/>
      <c r="AA94" s="205"/>
      <c r="AB94" s="205"/>
      <c r="AC94" s="205"/>
      <c r="AD94" s="205"/>
      <c r="AE94" s="206"/>
    </row>
    <row r="95" spans="1:31" ht="19">
      <c r="A95" s="64"/>
      <c r="B95" s="207">
        <v>951</v>
      </c>
      <c r="C95" s="208"/>
      <c r="D95" s="208">
        <v>3</v>
      </c>
      <c r="E95" s="208"/>
      <c r="F95" s="208">
        <v>5</v>
      </c>
      <c r="G95" s="208"/>
      <c r="H95" s="208">
        <v>78</v>
      </c>
      <c r="I95" s="209"/>
      <c r="J95" s="210">
        <v>1</v>
      </c>
      <c r="K95" s="211"/>
      <c r="L95" s="211">
        <v>4</v>
      </c>
      <c r="M95" s="211"/>
      <c r="N95" s="211">
        <v>952</v>
      </c>
      <c r="O95" s="211"/>
      <c r="P95" s="211">
        <v>962</v>
      </c>
      <c r="Q95" s="212"/>
      <c r="R95" s="213">
        <v>958</v>
      </c>
      <c r="S95" s="214"/>
      <c r="T95" s="214">
        <v>959</v>
      </c>
      <c r="U95" s="214"/>
      <c r="V95" s="214">
        <v>961</v>
      </c>
      <c r="W95" s="215"/>
      <c r="X95" s="216">
        <v>960</v>
      </c>
      <c r="Y95" s="196"/>
      <c r="Z95" s="195">
        <v>2</v>
      </c>
      <c r="AA95" s="195"/>
      <c r="AB95" s="196">
        <v>953</v>
      </c>
      <c r="AC95" s="196"/>
      <c r="AD95" s="196">
        <v>79</v>
      </c>
      <c r="AE95" s="197"/>
    </row>
    <row r="96" spans="1:31" ht="20" thickBot="1">
      <c r="A96" s="64"/>
      <c r="B96" s="123" t="s">
        <v>2</v>
      </c>
      <c r="C96" s="124" t="s">
        <v>3</v>
      </c>
      <c r="D96" s="125" t="s">
        <v>2</v>
      </c>
      <c r="E96" s="125" t="s">
        <v>3</v>
      </c>
      <c r="F96" s="125" t="s">
        <v>2</v>
      </c>
      <c r="G96" s="125" t="s">
        <v>3</v>
      </c>
      <c r="H96" s="125" t="s">
        <v>2</v>
      </c>
      <c r="I96" s="126" t="s">
        <v>3</v>
      </c>
      <c r="J96" s="141" t="s">
        <v>2</v>
      </c>
      <c r="K96" s="128" t="s">
        <v>3</v>
      </c>
      <c r="L96" s="128" t="s">
        <v>2</v>
      </c>
      <c r="M96" s="128" t="s">
        <v>3</v>
      </c>
      <c r="N96" s="128" t="s">
        <v>2</v>
      </c>
      <c r="O96" s="128" t="s">
        <v>3</v>
      </c>
      <c r="P96" s="128" t="s">
        <v>2</v>
      </c>
      <c r="Q96" s="129" t="s">
        <v>3</v>
      </c>
      <c r="R96" s="142" t="s">
        <v>2</v>
      </c>
      <c r="S96" s="131" t="s">
        <v>3</v>
      </c>
      <c r="T96" s="131" t="s">
        <v>2</v>
      </c>
      <c r="U96" s="131" t="s">
        <v>3</v>
      </c>
      <c r="V96" s="131" t="s">
        <v>2</v>
      </c>
      <c r="W96" s="132" t="s">
        <v>3</v>
      </c>
      <c r="X96" s="143" t="s">
        <v>2</v>
      </c>
      <c r="Y96" s="134" t="s">
        <v>3</v>
      </c>
      <c r="Z96" s="135" t="s">
        <v>2</v>
      </c>
      <c r="AA96" s="135" t="s">
        <v>3</v>
      </c>
      <c r="AB96" s="134" t="s">
        <v>2</v>
      </c>
      <c r="AC96" s="134" t="s">
        <v>3</v>
      </c>
      <c r="AD96" s="136" t="s">
        <v>2</v>
      </c>
      <c r="AE96" s="137" t="s">
        <v>3</v>
      </c>
    </row>
    <row r="97" spans="1:31">
      <c r="A97" s="78" t="s">
        <v>6</v>
      </c>
      <c r="B97" s="139">
        <f t="shared" ref="B97:C109" si="44">(B73^3)*100</f>
        <v>100</v>
      </c>
      <c r="C97" s="138">
        <f>(C73^3)*100</f>
        <v>100</v>
      </c>
      <c r="D97" s="138">
        <f t="shared" ref="D97:V97" si="45">(D73^3)*100</f>
        <v>100</v>
      </c>
      <c r="E97" s="138">
        <f t="shared" si="45"/>
        <v>100</v>
      </c>
      <c r="F97" s="138">
        <f t="shared" si="45"/>
        <v>100</v>
      </c>
      <c r="G97" s="138">
        <f t="shared" si="45"/>
        <v>100</v>
      </c>
      <c r="H97" s="138">
        <f t="shared" si="45"/>
        <v>100</v>
      </c>
      <c r="I97" s="140">
        <f t="shared" si="45"/>
        <v>100</v>
      </c>
      <c r="J97" s="139">
        <f t="shared" si="45"/>
        <v>100</v>
      </c>
      <c r="K97" s="138">
        <f t="shared" si="45"/>
        <v>100</v>
      </c>
      <c r="L97" s="138">
        <f t="shared" si="45"/>
        <v>100</v>
      </c>
      <c r="M97" s="138">
        <f t="shared" si="45"/>
        <v>100</v>
      </c>
      <c r="N97" s="138">
        <f t="shared" si="45"/>
        <v>100</v>
      </c>
      <c r="O97" s="138">
        <f t="shared" si="45"/>
        <v>100</v>
      </c>
      <c r="P97" s="138">
        <f t="shared" si="45"/>
        <v>100</v>
      </c>
      <c r="Q97" s="140">
        <f t="shared" si="45"/>
        <v>100</v>
      </c>
      <c r="R97" s="139">
        <f t="shared" si="45"/>
        <v>100</v>
      </c>
      <c r="S97" s="138">
        <f t="shared" si="45"/>
        <v>100</v>
      </c>
      <c r="T97" s="138">
        <f t="shared" si="45"/>
        <v>100</v>
      </c>
      <c r="U97" s="138">
        <f t="shared" si="45"/>
        <v>100</v>
      </c>
      <c r="V97" s="138">
        <f t="shared" si="45"/>
        <v>100</v>
      </c>
      <c r="W97" s="140">
        <f t="shared" ref="W97:AD97" si="46">(W73^3)*100</f>
        <v>100</v>
      </c>
      <c r="X97" s="139">
        <f t="shared" si="46"/>
        <v>100</v>
      </c>
      <c r="Y97" s="138">
        <f t="shared" si="46"/>
        <v>100</v>
      </c>
      <c r="Z97" s="138">
        <f t="shared" si="46"/>
        <v>100</v>
      </c>
      <c r="AA97" s="138">
        <f t="shared" si="46"/>
        <v>100</v>
      </c>
      <c r="AB97" s="138">
        <f t="shared" si="46"/>
        <v>100</v>
      </c>
      <c r="AC97" s="138">
        <f t="shared" si="46"/>
        <v>100</v>
      </c>
      <c r="AD97" s="138">
        <f t="shared" si="46"/>
        <v>100</v>
      </c>
      <c r="AE97" s="140">
        <f t="shared" ref="AE97:AE111" si="47">(AE73^3)*100</f>
        <v>100</v>
      </c>
    </row>
    <row r="98" spans="1:31">
      <c r="A98" s="89" t="s">
        <v>40</v>
      </c>
      <c r="B98" s="139">
        <f t="shared" si="44"/>
        <v>100</v>
      </c>
      <c r="C98" s="138">
        <f t="shared" si="44"/>
        <v>27.351465768144589</v>
      </c>
      <c r="D98" s="138">
        <f t="shared" ref="D98:V109" si="48">(D74^3)*100</f>
        <v>22.380648688046652</v>
      </c>
      <c r="E98" s="138">
        <f t="shared" si="48"/>
        <v>17.387148301407436</v>
      </c>
      <c r="F98" s="138">
        <f t="shared" si="48"/>
        <v>33.48979766803842</v>
      </c>
      <c r="G98" s="138">
        <f t="shared" si="48"/>
        <v>25.501661322383601</v>
      </c>
      <c r="H98" s="138">
        <f t="shared" si="48"/>
        <v>28.262329101562482</v>
      </c>
      <c r="I98" s="140">
        <f t="shared" si="48"/>
        <v>15.793733836100522</v>
      </c>
      <c r="J98" s="139">
        <f t="shared" si="48"/>
        <v>20.632982719759571</v>
      </c>
      <c r="K98" s="138">
        <f t="shared" si="48"/>
        <v>40.005831753899976</v>
      </c>
      <c r="L98" s="138">
        <f t="shared" si="48"/>
        <v>100</v>
      </c>
      <c r="M98" s="138">
        <f t="shared" si="48"/>
        <v>17.14677640603567</v>
      </c>
      <c r="N98" s="138">
        <f t="shared" si="48"/>
        <v>34.299999999999976</v>
      </c>
      <c r="O98" s="138">
        <f t="shared" si="48"/>
        <v>25.403703703703712</v>
      </c>
      <c r="P98" s="138">
        <f t="shared" si="48"/>
        <v>29.629629629629626</v>
      </c>
      <c r="Q98" s="140">
        <f t="shared" si="48"/>
        <v>24.4140625</v>
      </c>
      <c r="R98" s="139">
        <f t="shared" si="48"/>
        <v>58.581883398923928</v>
      </c>
      <c r="S98" s="138">
        <f t="shared" si="48"/>
        <v>64.415852742299023</v>
      </c>
      <c r="T98" s="138">
        <f t="shared" si="48"/>
        <v>51.832091672871293</v>
      </c>
      <c r="U98" s="138">
        <f t="shared" si="48"/>
        <v>54.399102414810173</v>
      </c>
      <c r="V98" s="138">
        <f t="shared" si="48"/>
        <v>37.324799999999996</v>
      </c>
      <c r="W98" s="140">
        <f t="shared" ref="W98:AD109" si="49">(W74^3)*100</f>
        <v>74.429321289062528</v>
      </c>
      <c r="X98" s="139">
        <f t="shared" si="49"/>
        <v>35.87075375419159</v>
      </c>
      <c r="Y98" s="138">
        <f t="shared" si="49"/>
        <v>25.770097670924113</v>
      </c>
      <c r="Z98" s="138">
        <f t="shared" si="49"/>
        <v>29.629629629629626</v>
      </c>
      <c r="AA98" s="138">
        <f t="shared" si="49"/>
        <v>28.377842565597668</v>
      </c>
      <c r="AB98" s="138">
        <f t="shared" si="49"/>
        <v>28.123334290048792</v>
      </c>
      <c r="AC98" s="138">
        <f t="shared" si="49"/>
        <v>25.770097670924102</v>
      </c>
      <c r="AD98" s="138">
        <f t="shared" si="49"/>
        <v>33.407848770495285</v>
      </c>
      <c r="AE98" s="140">
        <f t="shared" si="47"/>
        <v>25.193176847937025</v>
      </c>
    </row>
    <row r="99" spans="1:31">
      <c r="A99" s="89" t="s">
        <v>46</v>
      </c>
      <c r="B99" s="139">
        <f t="shared" si="44"/>
        <v>22.822359396433477</v>
      </c>
      <c r="C99" s="138">
        <f t="shared" si="44"/>
        <v>21.223264378243222</v>
      </c>
      <c r="D99" s="138">
        <f t="shared" si="48"/>
        <v>15.374453352769688</v>
      </c>
      <c r="E99" s="138">
        <f t="shared" si="48"/>
        <v>30.675286452765178</v>
      </c>
      <c r="F99" s="138">
        <f t="shared" si="48"/>
        <v>19.849537037037031</v>
      </c>
      <c r="G99" s="138">
        <f t="shared" si="48"/>
        <v>15.449572699177331</v>
      </c>
      <c r="H99" s="138">
        <f t="shared" si="48"/>
        <v>28.262329101562482</v>
      </c>
      <c r="I99" s="140">
        <f t="shared" si="48"/>
        <v>21.021459735849806</v>
      </c>
      <c r="J99" s="139">
        <f t="shared" si="48"/>
        <v>38.467317806160764</v>
      </c>
      <c r="K99" s="138">
        <f t="shared" si="48"/>
        <v>40.005831753899976</v>
      </c>
      <c r="L99" s="138">
        <f t="shared" si="48"/>
        <v>68.695298188479597</v>
      </c>
      <c r="M99" s="138">
        <f t="shared" si="48"/>
        <v>22.822359396433477</v>
      </c>
      <c r="N99" s="138">
        <f t="shared" si="48"/>
        <v>29.629629629629626</v>
      </c>
      <c r="O99" s="138">
        <f t="shared" si="48"/>
        <v>100</v>
      </c>
      <c r="P99" s="138">
        <f t="shared" si="48"/>
        <v>79.383224102016953</v>
      </c>
      <c r="Q99" s="140">
        <f t="shared" si="48"/>
        <v>30.754687500000006</v>
      </c>
      <c r="R99" s="139">
        <f t="shared" si="48"/>
        <v>36.443148688046669</v>
      </c>
      <c r="S99" s="138">
        <f t="shared" si="48"/>
        <v>50.332222013523676</v>
      </c>
      <c r="T99" s="138">
        <f t="shared" si="48"/>
        <v>45.740832933153015</v>
      </c>
      <c r="U99" s="138">
        <f t="shared" si="48"/>
        <v>43.054339603396571</v>
      </c>
      <c r="V99" s="138">
        <f t="shared" si="48"/>
        <v>37.324799999999996</v>
      </c>
      <c r="W99" s="140">
        <f t="shared" si="49"/>
        <v>53.637695312499979</v>
      </c>
      <c r="X99" s="139">
        <f t="shared" si="49"/>
        <v>71.628517276570904</v>
      </c>
      <c r="Y99" s="138">
        <f t="shared" si="49"/>
        <v>44.530728775356877</v>
      </c>
      <c r="Z99" s="138">
        <f t="shared" si="49"/>
        <v>55.586282578875192</v>
      </c>
      <c r="AA99" s="138">
        <f t="shared" si="49"/>
        <v>69.483381924198213</v>
      </c>
      <c r="AB99" s="138">
        <f t="shared" si="49"/>
        <v>43.659026610357124</v>
      </c>
      <c r="AC99" s="138">
        <f t="shared" si="49"/>
        <v>206.16078136739304</v>
      </c>
      <c r="AD99" s="138">
        <f t="shared" si="49"/>
        <v>67.579834932723628</v>
      </c>
      <c r="AE99" s="140">
        <f t="shared" si="47"/>
        <v>59.717159935850717</v>
      </c>
    </row>
    <row r="100" spans="1:31">
      <c r="A100" s="54" t="s">
        <v>47</v>
      </c>
      <c r="B100" s="139">
        <f t="shared" si="44"/>
        <v>17.14677640603567</v>
      </c>
      <c r="C100" s="138">
        <f t="shared" si="44"/>
        <v>10.628371482723431</v>
      </c>
      <c r="D100" s="138">
        <f t="shared" si="48"/>
        <v>18.658892128279881</v>
      </c>
      <c r="E100" s="138">
        <f t="shared" si="48"/>
        <v>8.6269133535412017</v>
      </c>
      <c r="F100" s="138">
        <f t="shared" si="48"/>
        <v>12.500000000000009</v>
      </c>
      <c r="G100" s="138">
        <f t="shared" si="48"/>
        <v>9.9519739992164986</v>
      </c>
      <c r="H100" s="138">
        <f t="shared" si="48"/>
        <v>14.9932861328125</v>
      </c>
      <c r="I100" s="140">
        <f t="shared" si="48"/>
        <v>15.793733836100522</v>
      </c>
      <c r="J100" s="139">
        <f t="shared" si="48"/>
        <v>20.632982719759571</v>
      </c>
      <c r="K100" s="138">
        <f t="shared" si="48"/>
        <v>28.475360839772566</v>
      </c>
      <c r="L100" s="138">
        <f t="shared" si="48"/>
        <v>27.091390189293712</v>
      </c>
      <c r="M100" s="138">
        <f t="shared" si="48"/>
        <v>12.500000000000009</v>
      </c>
      <c r="N100" s="138">
        <f t="shared" si="48"/>
        <v>39.437037037037051</v>
      </c>
      <c r="O100" s="138">
        <f t="shared" si="48"/>
        <v>57.870370370370381</v>
      </c>
      <c r="P100" s="138">
        <f t="shared" si="48"/>
        <v>34.847330183407003</v>
      </c>
      <c r="Q100" s="140">
        <f t="shared" si="48"/>
        <v>34.29999999999999</v>
      </c>
      <c r="R100" s="139">
        <f t="shared" si="48"/>
        <v>30.545945991891145</v>
      </c>
      <c r="S100" s="138">
        <f t="shared" si="48"/>
        <v>69.636316679188582</v>
      </c>
      <c r="T100" s="138">
        <f t="shared" si="48"/>
        <v>45.740832933153015</v>
      </c>
      <c r="U100" s="138">
        <f t="shared" si="48"/>
        <v>50.420318064751925</v>
      </c>
      <c r="V100" s="138">
        <f t="shared" si="48"/>
        <v>37.324799999999996</v>
      </c>
      <c r="W100" s="140">
        <f t="shared" si="49"/>
        <v>60.0677490234375</v>
      </c>
      <c r="X100" s="139">
        <f t="shared" si="49"/>
        <v>49.205423531126989</v>
      </c>
      <c r="Y100" s="138">
        <f t="shared" si="49"/>
        <v>35.653794139744541</v>
      </c>
      <c r="Z100" s="138">
        <f t="shared" si="49"/>
        <v>39.43703703703703</v>
      </c>
      <c r="AA100" s="138">
        <f t="shared" si="49"/>
        <v>45.907871720116624</v>
      </c>
      <c r="AB100" s="138">
        <f t="shared" si="49"/>
        <v>23.912419533396193</v>
      </c>
      <c r="AC100" s="138">
        <f t="shared" si="49"/>
        <v>25.770097670924102</v>
      </c>
      <c r="AD100" s="138">
        <f t="shared" si="49"/>
        <v>39.656945660396609</v>
      </c>
      <c r="AE100" s="140">
        <f t="shared" si="47"/>
        <v>35.87075375419159</v>
      </c>
    </row>
    <row r="101" spans="1:31">
      <c r="A101" s="89" t="s">
        <v>49</v>
      </c>
      <c r="B101" s="139">
        <f t="shared" si="44"/>
        <v>17.14677640603567</v>
      </c>
      <c r="C101" s="138">
        <f t="shared" si="44"/>
        <v>13.169504246920782</v>
      </c>
      <c r="D101" s="138">
        <f t="shared" si="48"/>
        <v>10.008199708454816</v>
      </c>
      <c r="E101" s="138">
        <f t="shared" si="48"/>
        <v>10.062007118870035</v>
      </c>
      <c r="F101" s="138">
        <f t="shared" si="48"/>
        <v>10.530264060356656</v>
      </c>
      <c r="G101" s="138">
        <f t="shared" si="48"/>
        <v>9.9519739992164986</v>
      </c>
      <c r="H101" s="138">
        <f t="shared" si="48"/>
        <v>12.499999999999996</v>
      </c>
      <c r="I101" s="140">
        <f t="shared" si="48"/>
        <v>9.6993267920952331</v>
      </c>
      <c r="J101" s="139">
        <f t="shared" si="48"/>
        <v>46.140120210368124</v>
      </c>
      <c r="K101" s="138">
        <f t="shared" si="48"/>
        <v>25.193176847937025</v>
      </c>
      <c r="L101" s="138">
        <f t="shared" si="48"/>
        <v>35.171992672501531</v>
      </c>
      <c r="M101" s="138">
        <f t="shared" si="48"/>
        <v>18.919245033785501</v>
      </c>
      <c r="N101" s="138">
        <f t="shared" si="48"/>
        <v>39.437037037037051</v>
      </c>
      <c r="O101" s="138">
        <f t="shared" si="48"/>
        <v>57.870370370370381</v>
      </c>
      <c r="P101" s="138">
        <f t="shared" si="48"/>
        <v>61.814764009551368</v>
      </c>
      <c r="Q101" s="140">
        <f t="shared" si="48"/>
        <v>38.107812500000016</v>
      </c>
      <c r="R101" s="139">
        <f t="shared" si="48"/>
        <v>30.545945991891145</v>
      </c>
      <c r="S101" s="138">
        <f t="shared" si="48"/>
        <v>52.520279629977473</v>
      </c>
      <c r="T101" s="138">
        <f t="shared" si="48"/>
        <v>55.070688736061612</v>
      </c>
      <c r="U101" s="138">
        <f t="shared" si="48"/>
        <v>54.399102414810173</v>
      </c>
      <c r="V101" s="138">
        <f t="shared" si="48"/>
        <v>34.29999999999999</v>
      </c>
      <c r="W101" s="140">
        <f t="shared" si="49"/>
        <v>47.6837158203125</v>
      </c>
      <c r="X101" s="139">
        <f t="shared" si="49"/>
        <v>92.311196967488002</v>
      </c>
      <c r="Y101" s="138">
        <f t="shared" si="49"/>
        <v>62.403005259203624</v>
      </c>
      <c r="Z101" s="138">
        <f t="shared" si="49"/>
        <v>75.633470507544558</v>
      </c>
      <c r="AA101" s="138">
        <f t="shared" si="49"/>
        <v>83.818075801749274</v>
      </c>
      <c r="AB101" s="138">
        <f t="shared" ref="AB101:AC109" si="50">(AB77^3)*100</f>
        <v>43.659026610357124</v>
      </c>
      <c r="AC101" s="138">
        <f t="shared" si="50"/>
        <v>82.897849013551479</v>
      </c>
      <c r="AD101" s="138">
        <f t="shared" si="49"/>
        <v>67.579834932723628</v>
      </c>
      <c r="AE101" s="140">
        <f t="shared" si="47"/>
        <v>71.628517276570904</v>
      </c>
    </row>
    <row r="102" spans="1:31">
      <c r="A102" s="54" t="s">
        <v>50</v>
      </c>
      <c r="B102" s="139">
        <f t="shared" si="44"/>
        <v>12.500000000000009</v>
      </c>
      <c r="C102" s="138">
        <f t="shared" si="44"/>
        <v>13.169504246920782</v>
      </c>
      <c r="D102" s="138">
        <f t="shared" si="48"/>
        <v>4.555393586005831</v>
      </c>
      <c r="E102" s="138">
        <f t="shared" si="48"/>
        <v>10.062007118870035</v>
      </c>
      <c r="F102" s="138">
        <f t="shared" si="48"/>
        <v>7.2337962962963038</v>
      </c>
      <c r="G102" s="138">
        <f t="shared" si="48"/>
        <v>9.9519739992164986</v>
      </c>
      <c r="H102" s="138">
        <f t="shared" si="48"/>
        <v>12.499999999999996</v>
      </c>
      <c r="I102" s="140">
        <f t="shared" si="48"/>
        <v>11.513631966517282</v>
      </c>
      <c r="J102" s="139">
        <f t="shared" si="48"/>
        <v>16.228399699474075</v>
      </c>
      <c r="K102" s="138">
        <f t="shared" si="48"/>
        <v>22.173421781600815</v>
      </c>
      <c r="L102" s="138">
        <f t="shared" si="48"/>
        <v>44.718094850396916</v>
      </c>
      <c r="M102" s="138">
        <f t="shared" si="48"/>
        <v>11.1619163745364</v>
      </c>
      <c r="N102" s="138">
        <f t="shared" si="48"/>
        <v>34.299999999999976</v>
      </c>
      <c r="O102" s="138">
        <f t="shared" si="48"/>
        <v>45.062962962962956</v>
      </c>
      <c r="P102" s="138">
        <f t="shared" si="48"/>
        <v>34.847330183407003</v>
      </c>
      <c r="Q102" s="140">
        <f t="shared" si="48"/>
        <v>24.4140625</v>
      </c>
      <c r="R102" s="139">
        <f t="shared" si="48"/>
        <v>36.443148688046669</v>
      </c>
      <c r="S102" s="138">
        <f t="shared" si="48"/>
        <v>50.332222013523676</v>
      </c>
      <c r="T102" s="138">
        <f t="shared" si="48"/>
        <v>48.723020869588197</v>
      </c>
      <c r="U102" s="138">
        <f t="shared" si="48"/>
        <v>50.420318064751925</v>
      </c>
      <c r="V102" s="138">
        <f t="shared" si="48"/>
        <v>37.324799999999996</v>
      </c>
      <c r="W102" s="140">
        <f t="shared" ref="W102:AD111" si="51">(W78^3)*100</f>
        <v>53.637695312499979</v>
      </c>
      <c r="X102" s="139">
        <f t="shared" si="49"/>
        <v>49.205423531126989</v>
      </c>
      <c r="Y102" s="138">
        <f t="shared" si="49"/>
        <v>38.467317806160786</v>
      </c>
      <c r="Z102" s="138">
        <f t="shared" si="49"/>
        <v>51.199999999999989</v>
      </c>
      <c r="AA102" s="138">
        <f t="shared" si="49"/>
        <v>48.505830903790084</v>
      </c>
      <c r="AB102" s="138">
        <f t="shared" si="50"/>
        <v>28.123334290048792</v>
      </c>
      <c r="AC102" s="138">
        <f t="shared" si="50"/>
        <v>165.06386175807657</v>
      </c>
      <c r="AD102" s="138">
        <f t="shared" si="49"/>
        <v>39.656945660396609</v>
      </c>
      <c r="AE102" s="140">
        <f t="shared" si="47"/>
        <v>44.447076833357663</v>
      </c>
    </row>
    <row r="103" spans="1:31">
      <c r="A103" s="89" t="s">
        <v>51</v>
      </c>
      <c r="B103" s="139">
        <f t="shared" si="44"/>
        <v>22.822359396433477</v>
      </c>
      <c r="C103" s="138">
        <f t="shared" si="44"/>
        <v>10.628371482723431</v>
      </c>
      <c r="D103" s="138">
        <f t="shared" si="48"/>
        <v>7.8717201166180777</v>
      </c>
      <c r="E103" s="138">
        <f t="shared" si="48"/>
        <v>8.6269133535412017</v>
      </c>
      <c r="F103" s="138">
        <f t="shared" si="48"/>
        <v>8.7791495198902609</v>
      </c>
      <c r="G103" s="138">
        <f t="shared" si="48"/>
        <v>12.5</v>
      </c>
      <c r="H103" s="138">
        <f t="shared" si="48"/>
        <v>10.299682617187504</v>
      </c>
      <c r="I103" s="140">
        <f t="shared" si="48"/>
        <v>10.580567784731413</v>
      </c>
      <c r="J103" s="139">
        <f t="shared" si="48"/>
        <v>20.632982719759571</v>
      </c>
      <c r="K103" s="138">
        <f t="shared" si="48"/>
        <v>25.193176847937025</v>
      </c>
      <c r="L103" s="138">
        <f t="shared" si="48"/>
        <v>75.796356604925734</v>
      </c>
      <c r="M103" s="138">
        <f t="shared" si="48"/>
        <v>15.48861962099275</v>
      </c>
      <c r="N103" s="138">
        <f t="shared" si="48"/>
        <v>39.437037037037051</v>
      </c>
      <c r="O103" s="138">
        <f t="shared" si="48"/>
        <v>57.870370370370381</v>
      </c>
      <c r="P103" s="138">
        <f t="shared" si="48"/>
        <v>24.960625920845388</v>
      </c>
      <c r="Q103" s="140">
        <f t="shared" si="48"/>
        <v>27.462499999999991</v>
      </c>
      <c r="R103" s="139">
        <f t="shared" si="48"/>
        <v>39.656945660396609</v>
      </c>
      <c r="S103" s="138">
        <f t="shared" si="48"/>
        <v>46.140120210368138</v>
      </c>
      <c r="T103" s="138">
        <f t="shared" si="48"/>
        <v>69.373207449081647</v>
      </c>
      <c r="U103" s="138">
        <f t="shared" si="48"/>
        <v>54.399102414810173</v>
      </c>
      <c r="V103" s="138">
        <f t="shared" si="48"/>
        <v>40.522399999999998</v>
      </c>
      <c r="W103" s="140">
        <f t="shared" si="51"/>
        <v>50.602340698242166</v>
      </c>
      <c r="X103" s="139">
        <f t="shared" si="49"/>
        <v>54.291806385770514</v>
      </c>
      <c r="Y103" s="138">
        <f t="shared" si="49"/>
        <v>38.467317806160786</v>
      </c>
      <c r="Z103" s="138">
        <f t="shared" si="49"/>
        <v>47.050754458161869</v>
      </c>
      <c r="AA103" s="138">
        <f t="shared" si="49"/>
        <v>51.199999999999989</v>
      </c>
      <c r="AB103" s="138">
        <f t="shared" si="50"/>
        <v>35.323814014514724</v>
      </c>
      <c r="AC103" s="138">
        <f t="shared" si="50"/>
        <v>191.78284219606533</v>
      </c>
      <c r="AD103" s="138">
        <f t="shared" si="49"/>
        <v>46.640430432897865</v>
      </c>
      <c r="AE103" s="140">
        <f t="shared" si="47"/>
        <v>49.205423531126989</v>
      </c>
    </row>
    <row r="104" spans="1:31">
      <c r="A104" s="89" t="s">
        <v>52</v>
      </c>
      <c r="B104" s="139">
        <f t="shared" si="44"/>
        <v>12.500000000000009</v>
      </c>
      <c r="C104" s="138">
        <f t="shared" si="44"/>
        <v>9.4906394950133066</v>
      </c>
      <c r="D104" s="138">
        <f t="shared" si="48"/>
        <v>3.320881924198253</v>
      </c>
      <c r="E104" s="138">
        <f t="shared" si="48"/>
        <v>6.1793301218760606</v>
      </c>
      <c r="F104" s="138">
        <f t="shared" si="48"/>
        <v>8.7791495198902609</v>
      </c>
      <c r="G104" s="138">
        <f t="shared" si="48"/>
        <v>5.9430362298863919</v>
      </c>
      <c r="H104" s="138">
        <f t="shared" si="48"/>
        <v>6.7047119140625</v>
      </c>
      <c r="I104" s="140">
        <f t="shared" si="48"/>
        <v>5.4172507057824815</v>
      </c>
      <c r="J104" s="139">
        <f t="shared" si="48"/>
        <v>20.632982719759571</v>
      </c>
      <c r="K104" s="138">
        <f t="shared" si="48"/>
        <v>25.193176847937025</v>
      </c>
      <c r="L104" s="138">
        <f t="shared" si="48"/>
        <v>27.091390189293712</v>
      </c>
      <c r="M104" s="138">
        <f t="shared" si="48"/>
        <v>15.48861962099275</v>
      </c>
      <c r="N104" s="138">
        <f t="shared" si="48"/>
        <v>42.752503703703695</v>
      </c>
      <c r="O104" s="138">
        <f t="shared" si="48"/>
        <v>57.870370370370381</v>
      </c>
      <c r="P104" s="138">
        <f t="shared" si="48"/>
        <v>47.050754458161833</v>
      </c>
      <c r="Q104" s="140">
        <f t="shared" si="48"/>
        <v>24.4140625</v>
      </c>
      <c r="R104" s="139">
        <f t="shared" si="48"/>
        <v>24.354321753691057</v>
      </c>
      <c r="S104" s="138">
        <f t="shared" si="48"/>
        <v>42.1875</v>
      </c>
      <c r="T104" s="138">
        <f t="shared" si="48"/>
        <v>40.14653208858892</v>
      </c>
      <c r="U104" s="138">
        <f t="shared" si="48"/>
        <v>50.420318064751925</v>
      </c>
      <c r="V104" s="138">
        <f t="shared" si="48"/>
        <v>37.324799999999996</v>
      </c>
      <c r="W104" s="140">
        <f t="shared" si="51"/>
        <v>37.130737304687486</v>
      </c>
      <c r="X104" s="139">
        <f t="shared" si="49"/>
        <v>85.026971861787416</v>
      </c>
      <c r="Y104" s="138">
        <f t="shared" si="49"/>
        <v>58.503981968444762</v>
      </c>
      <c r="Z104" s="138">
        <f t="shared" si="49"/>
        <v>81.303703703703718</v>
      </c>
      <c r="AA104" s="138">
        <f t="shared" si="49"/>
        <v>91.671137026239037</v>
      </c>
      <c r="AB104" s="138">
        <f t="shared" si="50"/>
        <v>37.972036573865239</v>
      </c>
      <c r="AC104" s="138">
        <f t="shared" si="50"/>
        <v>33.856471046553679</v>
      </c>
      <c r="AD104" s="138">
        <f t="shared" si="49"/>
        <v>62.973760932944643</v>
      </c>
      <c r="AE104" s="140">
        <f t="shared" si="47"/>
        <v>59.717159935850717</v>
      </c>
    </row>
    <row r="105" spans="1:31">
      <c r="A105" s="89" t="s">
        <v>53</v>
      </c>
      <c r="B105" s="139">
        <f t="shared" si="44"/>
        <v>12.500000000000009</v>
      </c>
      <c r="C105" s="138">
        <f t="shared" si="44"/>
        <v>8.4371439525252008</v>
      </c>
      <c r="D105" s="138">
        <f t="shared" si="48"/>
        <v>3.320881924198253</v>
      </c>
      <c r="E105" s="138">
        <f t="shared" si="48"/>
        <v>6.1793301218760606</v>
      </c>
      <c r="F105" s="138">
        <f t="shared" si="48"/>
        <v>5.8813443072702363</v>
      </c>
      <c r="G105" s="138">
        <f t="shared" si="48"/>
        <v>5.9430362298863919</v>
      </c>
      <c r="H105" s="138">
        <f t="shared" si="48"/>
        <v>5.2734374999999973</v>
      </c>
      <c r="I105" s="140">
        <f t="shared" si="48"/>
        <v>4.3373541547391081</v>
      </c>
      <c r="J105" s="139">
        <f t="shared" si="48"/>
        <v>6.8463561232156289</v>
      </c>
      <c r="K105" s="138">
        <f t="shared" si="48"/>
        <v>10.628371482723431</v>
      </c>
      <c r="L105" s="138">
        <f t="shared" si="48"/>
        <v>14.838184408711591</v>
      </c>
      <c r="M105" s="138">
        <f t="shared" si="48"/>
        <v>9.9229030127521245</v>
      </c>
      <c r="N105" s="138">
        <f t="shared" si="48"/>
        <v>29.629629629629626</v>
      </c>
      <c r="O105" s="138">
        <f t="shared" si="48"/>
        <v>57.870370370370381</v>
      </c>
      <c r="P105" s="138">
        <f t="shared" si="48"/>
        <v>29.629629629629626</v>
      </c>
      <c r="Q105" s="140">
        <f t="shared" si="48"/>
        <v>24.4140625</v>
      </c>
      <c r="R105" s="139">
        <f t="shared" si="48"/>
        <v>27.852340436382804</v>
      </c>
      <c r="S105" s="138">
        <f t="shared" si="48"/>
        <v>34.972530052592042</v>
      </c>
      <c r="T105" s="138">
        <f t="shared" si="48"/>
        <v>69.373207449081647</v>
      </c>
      <c r="U105" s="138">
        <f t="shared" si="48"/>
        <v>67.579834932723628</v>
      </c>
      <c r="V105" s="138">
        <f t="shared" si="48"/>
        <v>37.324799999999996</v>
      </c>
      <c r="W105" s="140">
        <f t="shared" si="51"/>
        <v>37.130737304687486</v>
      </c>
      <c r="X105" s="139">
        <f t="shared" si="49"/>
        <v>65.492418719930029</v>
      </c>
      <c r="Y105" s="138">
        <f t="shared" si="49"/>
        <v>51.199999999999989</v>
      </c>
      <c r="Z105" s="138">
        <f t="shared" si="49"/>
        <v>65.096296296296273</v>
      </c>
      <c r="AA105" s="138">
        <f t="shared" si="49"/>
        <v>56.883965014577278</v>
      </c>
      <c r="AB105" s="138">
        <f t="shared" si="50"/>
        <v>20.144327360695389</v>
      </c>
      <c r="AC105" s="138">
        <f t="shared" si="50"/>
        <v>22.261179285972677</v>
      </c>
      <c r="AD105" s="138">
        <f t="shared" si="49"/>
        <v>39.656945660396609</v>
      </c>
      <c r="AE105" s="140">
        <f t="shared" si="47"/>
        <v>40.005831753899976</v>
      </c>
    </row>
    <row r="106" spans="1:31">
      <c r="A106" s="54" t="s">
        <v>56</v>
      </c>
      <c r="B106" s="139">
        <f t="shared" si="44"/>
        <v>12.500000000000009</v>
      </c>
      <c r="C106" s="138">
        <f t="shared" si="44"/>
        <v>6.5699027501039442</v>
      </c>
      <c r="D106" s="138">
        <f t="shared" si="48"/>
        <v>3.320881924198253</v>
      </c>
      <c r="E106" s="138">
        <f t="shared" si="48"/>
        <v>5.1517476448614579</v>
      </c>
      <c r="F106" s="138">
        <f t="shared" si="48"/>
        <v>7.2337962962963038</v>
      </c>
      <c r="G106" s="138">
        <f t="shared" si="48"/>
        <v>3.981369974318425</v>
      </c>
      <c r="H106" s="138">
        <f t="shared" si="48"/>
        <v>8.3740234375</v>
      </c>
      <c r="I106" s="140">
        <f t="shared" si="48"/>
        <v>6.662981462104911</v>
      </c>
      <c r="J106" s="139">
        <f t="shared" si="48"/>
        <v>31.696093163035322</v>
      </c>
      <c r="K106" s="138">
        <f t="shared" si="48"/>
        <v>16.877460271176549</v>
      </c>
      <c r="L106" s="138">
        <f t="shared" si="48"/>
        <v>27.091390189293712</v>
      </c>
      <c r="M106" s="138">
        <f t="shared" si="48"/>
        <v>15.48861962099275</v>
      </c>
      <c r="N106" s="138">
        <f t="shared" si="48"/>
        <v>51.200000000000024</v>
      </c>
      <c r="O106" s="138">
        <f t="shared" si="48"/>
        <v>90.329629629629665</v>
      </c>
      <c r="P106" s="138">
        <f t="shared" si="48"/>
        <v>40.64421074023268</v>
      </c>
      <c r="Q106" s="140">
        <f t="shared" si="48"/>
        <v>34.29999999999999</v>
      </c>
      <c r="R106" s="139">
        <f t="shared" si="48"/>
        <v>21.821158700881448</v>
      </c>
      <c r="S106" s="138">
        <f t="shared" si="48"/>
        <v>30.754687500000006</v>
      </c>
      <c r="T106" s="138">
        <f t="shared" si="48"/>
        <v>69.373207449081647</v>
      </c>
      <c r="U106" s="138">
        <f t="shared" si="48"/>
        <v>58.581883398923928</v>
      </c>
      <c r="V106" s="138">
        <f t="shared" si="48"/>
        <v>47.455199999999984</v>
      </c>
      <c r="W106" s="140">
        <f t="shared" si="51"/>
        <v>42.187500000000021</v>
      </c>
      <c r="X106" s="139">
        <f t="shared" si="49"/>
        <v>116.63507799970839</v>
      </c>
      <c r="Y106" s="138">
        <f t="shared" si="49"/>
        <v>84.512697220135237</v>
      </c>
      <c r="Z106" s="138">
        <f t="shared" si="49"/>
        <v>154.30233196159128</v>
      </c>
      <c r="AA106" s="138">
        <f t="shared" si="49"/>
        <v>100</v>
      </c>
      <c r="AB106" s="138">
        <f t="shared" si="50"/>
        <v>32.801672885317139</v>
      </c>
      <c r="AC106" s="138">
        <f t="shared" si="50"/>
        <v>100</v>
      </c>
      <c r="AD106" s="138">
        <f t="shared" si="49"/>
        <v>72.405205314112322</v>
      </c>
      <c r="AE106" s="140">
        <f t="shared" si="47"/>
        <v>100</v>
      </c>
    </row>
    <row r="107" spans="1:31">
      <c r="A107" s="54" t="s">
        <v>58</v>
      </c>
      <c r="B107" s="139">
        <f t="shared" si="44"/>
        <v>12.500000000000009</v>
      </c>
      <c r="C107" s="138">
        <f t="shared" si="44"/>
        <v>6.5699027501039442</v>
      </c>
      <c r="D107" s="138">
        <f t="shared" si="48"/>
        <v>0.56942419825072887</v>
      </c>
      <c r="E107" s="138">
        <f t="shared" si="48"/>
        <v>6.1793301218760606</v>
      </c>
      <c r="F107" s="138">
        <f t="shared" si="48"/>
        <v>4.7089334705075458</v>
      </c>
      <c r="G107" s="138">
        <f t="shared" si="48"/>
        <v>4.8969109560221167</v>
      </c>
      <c r="H107" s="138">
        <f t="shared" si="48"/>
        <v>5.2734374999999973</v>
      </c>
      <c r="I107" s="140">
        <f t="shared" si="48"/>
        <v>3.4114465085977126</v>
      </c>
      <c r="J107" s="139">
        <f t="shared" si="48"/>
        <v>12.5</v>
      </c>
      <c r="K107" s="138">
        <f t="shared" si="48"/>
        <v>10.628371482723431</v>
      </c>
      <c r="L107" s="138">
        <f t="shared" si="48"/>
        <v>14.838184408711591</v>
      </c>
      <c r="M107" s="138">
        <f t="shared" si="48"/>
        <v>12.500000000000009</v>
      </c>
      <c r="N107" s="138">
        <f t="shared" si="48"/>
        <v>21.6</v>
      </c>
      <c r="O107" s="138">
        <f t="shared" si="48"/>
        <v>51.200000000000024</v>
      </c>
      <c r="P107" s="138">
        <f t="shared" si="48"/>
        <v>13.94096428389981</v>
      </c>
      <c r="Q107" s="140">
        <f t="shared" si="48"/>
        <v>14.470312499999993</v>
      </c>
      <c r="R107" s="139">
        <f t="shared" si="48"/>
        <v>46.640430432897865</v>
      </c>
      <c r="S107" s="138">
        <f t="shared" si="48"/>
        <v>46.140120210368138</v>
      </c>
      <c r="T107" s="138">
        <f t="shared" si="48"/>
        <v>95.162150135914487</v>
      </c>
      <c r="U107" s="138">
        <f t="shared" si="48"/>
        <v>67.579834932723628</v>
      </c>
      <c r="V107" s="138">
        <f t="shared" si="48"/>
        <v>55.136799999999987</v>
      </c>
      <c r="W107" s="140">
        <f t="shared" si="51"/>
        <v>60.0677490234375</v>
      </c>
      <c r="X107" s="139">
        <f t="shared" si="49"/>
        <v>100</v>
      </c>
      <c r="Y107" s="138">
        <f t="shared" si="49"/>
        <v>7.3129977460555953</v>
      </c>
      <c r="Z107" s="138">
        <f t="shared" si="49"/>
        <v>87.250480109739343</v>
      </c>
      <c r="AA107" s="138">
        <f t="shared" si="49"/>
        <v>62.9737609329446</v>
      </c>
      <c r="AB107" s="138">
        <f t="shared" si="50"/>
        <v>28.123334290048792</v>
      </c>
      <c r="AC107" s="138">
        <f t="shared" si="50"/>
        <v>22.261179285972677</v>
      </c>
      <c r="AD107" s="138">
        <f t="shared" si="49"/>
        <v>46.640430432897865</v>
      </c>
      <c r="AE107" s="140">
        <f t="shared" si="47"/>
        <v>54.291806385770514</v>
      </c>
    </row>
    <row r="108" spans="1:31">
      <c r="A108" s="89" t="s">
        <v>59</v>
      </c>
      <c r="B108" s="139">
        <f t="shared" si="44"/>
        <v>12.500000000000009</v>
      </c>
      <c r="C108" s="138">
        <f t="shared" si="44"/>
        <v>9.4906394950133066</v>
      </c>
      <c r="D108" s="138">
        <f t="shared" si="48"/>
        <v>0.98396501457726004</v>
      </c>
      <c r="E108" s="138">
        <f t="shared" si="48"/>
        <v>6.1793301218760606</v>
      </c>
      <c r="F108" s="138">
        <f t="shared" si="48"/>
        <v>5.8813443072702363</v>
      </c>
      <c r="G108" s="138">
        <f t="shared" si="48"/>
        <v>5.9430362298863919</v>
      </c>
      <c r="H108" s="138">
        <f t="shared" si="48"/>
        <v>6.7047119140625</v>
      </c>
      <c r="I108" s="140">
        <f t="shared" si="48"/>
        <v>4.3373541547391081</v>
      </c>
      <c r="J108" s="139">
        <f t="shared" si="48"/>
        <v>14.65905334335087</v>
      </c>
      <c r="K108" s="138">
        <f t="shared" si="48"/>
        <v>1.3285464353404295</v>
      </c>
      <c r="L108" s="138">
        <f t="shared" si="48"/>
        <v>44.718094850396916</v>
      </c>
      <c r="M108" s="138">
        <f t="shared" si="48"/>
        <v>18.018483589899919</v>
      </c>
      <c r="N108" s="138">
        <f t="shared" si="48"/>
        <v>57.870370370370381</v>
      </c>
      <c r="O108" s="138">
        <f t="shared" si="48"/>
        <v>115.76250000000002</v>
      </c>
      <c r="P108" s="138">
        <f t="shared" si="48"/>
        <v>34.847330183407003</v>
      </c>
      <c r="Q108" s="140">
        <f t="shared" si="48"/>
        <v>27.462499999999991</v>
      </c>
      <c r="R108" s="139">
        <f t="shared" si="48"/>
        <v>46.640430432897865</v>
      </c>
      <c r="S108" s="138">
        <f t="shared" si="48"/>
        <v>42.1875</v>
      </c>
      <c r="T108" s="138">
        <f t="shared" si="48"/>
        <v>115.49160502420909</v>
      </c>
      <c r="U108" s="138">
        <f t="shared" si="48"/>
        <v>82.734234885124408</v>
      </c>
      <c r="V108" s="138">
        <f t="shared" si="48"/>
        <v>68.14719999999997</v>
      </c>
      <c r="W108" s="140">
        <f t="shared" si="51"/>
        <v>60.0677490234375</v>
      </c>
      <c r="X108" s="139">
        <f t="shared" si="49"/>
        <v>116.63507799970839</v>
      </c>
      <c r="Y108" s="138">
        <f t="shared" si="49"/>
        <v>100</v>
      </c>
      <c r="Z108" s="138">
        <f t="shared" si="49"/>
        <v>192.71989026063102</v>
      </c>
      <c r="AA108" s="138">
        <f t="shared" si="49"/>
        <v>127.9813411078717</v>
      </c>
      <c r="AB108" s="138">
        <f t="shared" si="50"/>
        <v>32.801672885317139</v>
      </c>
      <c r="AC108" s="138">
        <f t="shared" si="50"/>
        <v>25.770097670924102</v>
      </c>
      <c r="AD108" s="138">
        <f t="shared" si="49"/>
        <v>80.594663788047498</v>
      </c>
      <c r="AE108" s="140">
        <f t="shared" si="47"/>
        <v>78.136390144335934</v>
      </c>
    </row>
    <row r="109" spans="1:31">
      <c r="A109" s="89" t="s">
        <v>60</v>
      </c>
      <c r="B109" s="139">
        <f t="shared" si="44"/>
        <v>12.500000000000009</v>
      </c>
      <c r="C109" s="138">
        <f t="shared" si="44"/>
        <v>10.628371482723431</v>
      </c>
      <c r="D109" s="138">
        <f t="shared" si="48"/>
        <v>0.56942419825072887</v>
      </c>
      <c r="E109" s="138">
        <f t="shared" si="48"/>
        <v>7.3352031896562568</v>
      </c>
      <c r="F109" s="138">
        <f t="shared" si="48"/>
        <v>5.8813443072702363</v>
      </c>
      <c r="G109" s="138">
        <f t="shared" si="48"/>
        <v>4.8969109560221167</v>
      </c>
      <c r="H109" s="138">
        <f t="shared" si="48"/>
        <v>9.4974853515625028</v>
      </c>
      <c r="I109" s="140">
        <f t="shared" si="48"/>
        <v>6.662981462104911</v>
      </c>
      <c r="J109" s="139">
        <f t="shared" si="48"/>
        <v>8.0519815927873744</v>
      </c>
      <c r="K109" s="138">
        <f t="shared" si="48"/>
        <v>14.579384749963548</v>
      </c>
      <c r="L109" s="138">
        <f t="shared" si="48"/>
        <v>17.451150010177084</v>
      </c>
      <c r="M109" s="138">
        <f t="shared" si="48"/>
        <v>10.530264060356652</v>
      </c>
      <c r="N109" s="138">
        <f t="shared" si="48"/>
        <v>24.219270370370367</v>
      </c>
      <c r="O109" s="138">
        <f t="shared" si="48"/>
        <v>65.096296296296273</v>
      </c>
      <c r="P109" s="138">
        <f t="shared" si="48"/>
        <v>17.14677640603567</v>
      </c>
      <c r="Q109" s="140">
        <f t="shared" si="48"/>
        <v>15.966114062500001</v>
      </c>
      <c r="R109" s="139">
        <f t="shared" si="48"/>
        <v>44.823479162593834</v>
      </c>
      <c r="S109" s="138">
        <f t="shared" si="48"/>
        <v>69.636316679188582</v>
      </c>
      <c r="T109" s="138">
        <f t="shared" si="48"/>
        <v>138.52789440525862</v>
      </c>
      <c r="U109" s="138">
        <f t="shared" si="48"/>
        <v>82.734234885124408</v>
      </c>
      <c r="V109" s="138">
        <f t="shared" si="48"/>
        <v>83.05840000000002</v>
      </c>
      <c r="W109" s="140">
        <f t="shared" si="51"/>
        <v>74.429321289062528</v>
      </c>
      <c r="X109" s="139">
        <f t="shared" si="49"/>
        <v>71.628517276570904</v>
      </c>
      <c r="Y109" s="138">
        <f t="shared" si="49"/>
        <v>70.71314800901574</v>
      </c>
      <c r="Z109" s="138">
        <f t="shared" si="49"/>
        <v>154.30233196159128</v>
      </c>
      <c r="AA109" s="138">
        <f t="shared" si="49"/>
        <v>83.818075801749274</v>
      </c>
      <c r="AB109" s="138">
        <f t="shared" si="50"/>
        <v>0.51252613883308029</v>
      </c>
      <c r="AC109" s="138">
        <f t="shared" si="50"/>
        <v>20.632982719759585</v>
      </c>
      <c r="AD109" s="138">
        <f t="shared" si="49"/>
        <v>50.420318064751925</v>
      </c>
      <c r="AE109" s="140">
        <f t="shared" si="47"/>
        <v>44.447076833357663</v>
      </c>
    </row>
    <row r="110" spans="1:31">
      <c r="A110" s="89" t="s">
        <v>61</v>
      </c>
      <c r="B110" s="139">
        <f t="shared" ref="B110:V111" si="52">(B86^3)*100</f>
        <v>12.500000000000009</v>
      </c>
      <c r="C110" s="138">
        <f t="shared" si="52"/>
        <v>16.086461151339403</v>
      </c>
      <c r="D110" s="138">
        <f t="shared" si="52"/>
        <v>0.56942419825072887</v>
      </c>
      <c r="E110" s="138">
        <f t="shared" si="52"/>
        <v>8.6269133535412017</v>
      </c>
      <c r="F110" s="138">
        <f t="shared" si="52"/>
        <v>7.2337962962963038</v>
      </c>
      <c r="G110" s="138">
        <f t="shared" si="52"/>
        <v>4.8969109560221167</v>
      </c>
      <c r="H110" s="138">
        <f t="shared" si="52"/>
        <v>14.9932861328125</v>
      </c>
      <c r="I110" s="140">
        <f t="shared" si="52"/>
        <v>5.4172507057824815</v>
      </c>
      <c r="J110" s="139">
        <f t="shared" si="52"/>
        <v>20.632982719759571</v>
      </c>
      <c r="K110" s="138">
        <f t="shared" si="52"/>
        <v>14.579384749963548</v>
      </c>
      <c r="L110" s="138">
        <f t="shared" si="52"/>
        <v>27.091390189293712</v>
      </c>
      <c r="M110" s="138">
        <f t="shared" si="52"/>
        <v>19.849537037037052</v>
      </c>
      <c r="N110" s="138">
        <f t="shared" si="52"/>
        <v>72.900000000000006</v>
      </c>
      <c r="O110" s="138">
        <f t="shared" si="52"/>
        <v>145.57037037037026</v>
      </c>
      <c r="P110" s="138">
        <f t="shared" si="52"/>
        <v>34.847330183407003</v>
      </c>
      <c r="Q110" s="140">
        <f t="shared" si="52"/>
        <v>30.754687500000006</v>
      </c>
      <c r="R110" s="139">
        <f t="shared" si="52"/>
        <v>43.054339603396571</v>
      </c>
      <c r="S110" s="138">
        <f t="shared" si="52"/>
        <v>64.415852742299023</v>
      </c>
      <c r="T110" s="138">
        <f t="shared" si="52"/>
        <v>193.39768526881107</v>
      </c>
      <c r="U110" s="138">
        <f t="shared" si="52"/>
        <v>91.09459068925365</v>
      </c>
      <c r="V110" s="138">
        <f t="shared" si="52"/>
        <v>106.12079999999999</v>
      </c>
      <c r="W110" s="140">
        <f t="shared" si="51"/>
        <v>109.67102050781243</v>
      </c>
      <c r="X110" s="139">
        <f t="shared" si="51"/>
        <v>116.63507799970839</v>
      </c>
      <c r="Y110" s="138">
        <f t="shared" si="51"/>
        <v>224.34139744552968</v>
      </c>
      <c r="Z110" s="138">
        <f t="shared" si="51"/>
        <v>254.01980137174206</v>
      </c>
      <c r="AA110" s="138">
        <f t="shared" si="51"/>
        <v>138.35335276967925</v>
      </c>
      <c r="AB110" s="138">
        <f t="shared" si="51"/>
        <v>37.972036573865239</v>
      </c>
      <c r="AC110" s="138">
        <f t="shared" si="51"/>
        <v>33.856471046553679</v>
      </c>
      <c r="AD110" s="138">
        <f t="shared" si="51"/>
        <v>82.734234885124408</v>
      </c>
      <c r="AE110" s="140">
        <f t="shared" si="47"/>
        <v>65.492418719930029</v>
      </c>
    </row>
    <row r="111" spans="1:31">
      <c r="A111" s="89" t="s">
        <v>62</v>
      </c>
      <c r="B111" s="139">
        <f t="shared" si="52"/>
        <v>12.500000000000009</v>
      </c>
      <c r="C111" s="138">
        <f t="shared" si="52"/>
        <v>16.086461151339403</v>
      </c>
      <c r="D111" s="138">
        <f t="shared" si="52"/>
        <v>0.56942419825072887</v>
      </c>
      <c r="E111" s="138">
        <f t="shared" si="52"/>
        <v>7.3352031896562568</v>
      </c>
      <c r="F111" s="138">
        <f t="shared" si="52"/>
        <v>7.2337962962963038</v>
      </c>
      <c r="G111" s="138">
        <f t="shared" si="52"/>
        <v>5.9430362298863919</v>
      </c>
      <c r="H111" s="138">
        <f t="shared" si="52"/>
        <v>8.3740234375</v>
      </c>
      <c r="I111" s="140">
        <f t="shared" si="52"/>
        <v>7.351736323613606</v>
      </c>
      <c r="J111" s="139">
        <f t="shared" si="52"/>
        <v>9.3914350112697207</v>
      </c>
      <c r="K111" s="138">
        <f t="shared" si="52"/>
        <v>8.9535646595713665</v>
      </c>
      <c r="L111" s="138">
        <f t="shared" si="52"/>
        <v>10.421331162222677</v>
      </c>
      <c r="M111" s="138">
        <f t="shared" si="52"/>
        <v>15.48861962099275</v>
      </c>
      <c r="N111" s="138">
        <f t="shared" si="52"/>
        <v>39.437037037037051</v>
      </c>
      <c r="O111" s="138">
        <f t="shared" si="52"/>
        <v>115.76250000000002</v>
      </c>
      <c r="P111" s="138">
        <f t="shared" si="52"/>
        <v>24.960625920845388</v>
      </c>
      <c r="Q111" s="140">
        <f t="shared" si="52"/>
        <v>27.462499999999991</v>
      </c>
      <c r="R111" s="139">
        <f t="shared" si="52"/>
        <v>50.420318064751925</v>
      </c>
      <c r="S111" s="138">
        <f t="shared" si="52"/>
        <v>69.636316679188582</v>
      </c>
      <c r="T111" s="138">
        <f t="shared" si="52"/>
        <v>290.11370995810239</v>
      </c>
      <c r="U111" s="138">
        <f t="shared" si="52"/>
        <v>149.27113702623913</v>
      </c>
      <c r="V111" s="138">
        <f t="shared" si="52"/>
        <v>119.10160000000003</v>
      </c>
      <c r="W111" s="140">
        <f t="shared" si="51"/>
        <v>119.94628906249993</v>
      </c>
      <c r="X111" s="139">
        <f t="shared" si="51"/>
        <v>92.311196967488002</v>
      </c>
      <c r="Y111" s="138">
        <f t="shared" si="51"/>
        <v>94.644027047332798</v>
      </c>
      <c r="Z111" s="138">
        <f t="shared" si="51"/>
        <v>274.39999999999992</v>
      </c>
      <c r="AA111" s="138">
        <f t="shared" si="51"/>
        <v>118.14110787172012</v>
      </c>
      <c r="AB111" s="138">
        <f t="shared" si="51"/>
        <v>28.123334290048792</v>
      </c>
      <c r="AC111" s="138">
        <f t="shared" si="51"/>
        <v>100</v>
      </c>
      <c r="AD111" s="138">
        <f t="shared" si="51"/>
        <v>58.581883398923928</v>
      </c>
      <c r="AE111" s="140">
        <f t="shared" si="47"/>
        <v>49.205423531126989</v>
      </c>
    </row>
    <row r="112" spans="1:31">
      <c r="A112" s="89"/>
      <c r="B112" s="113"/>
      <c r="C112" s="112"/>
      <c r="D112" s="112"/>
      <c r="E112" s="112"/>
      <c r="F112" s="112"/>
      <c r="G112" s="112"/>
      <c r="H112" s="112"/>
      <c r="I112" s="114"/>
      <c r="J112" s="113"/>
      <c r="K112" s="112"/>
      <c r="L112" s="112"/>
      <c r="M112" s="112"/>
      <c r="N112" s="112"/>
      <c r="O112" s="112"/>
      <c r="P112" s="112"/>
      <c r="Q112" s="114"/>
      <c r="R112" s="113"/>
      <c r="S112" s="112"/>
      <c r="T112" s="112"/>
      <c r="U112" s="112"/>
      <c r="V112" s="112"/>
      <c r="W112" s="114"/>
      <c r="X112" s="113"/>
      <c r="Y112" s="112"/>
      <c r="Z112" s="112"/>
      <c r="AA112" s="112"/>
      <c r="AB112" s="112"/>
      <c r="AC112" s="112"/>
      <c r="AD112" s="112"/>
      <c r="AE112" s="114"/>
    </row>
    <row r="113" spans="2:31" ht="19" thickBot="1">
      <c r="B113" s="73"/>
      <c r="C113" s="74"/>
      <c r="D113" s="74"/>
      <c r="E113" s="74"/>
      <c r="F113" s="74"/>
      <c r="G113" s="74"/>
      <c r="H113" s="74"/>
      <c r="I113" s="75"/>
      <c r="J113" s="73"/>
      <c r="K113" s="74"/>
      <c r="L113" s="74"/>
      <c r="M113" s="74"/>
      <c r="N113" s="74"/>
      <c r="O113" s="74"/>
      <c r="P113" s="74"/>
      <c r="Q113" s="75"/>
      <c r="R113" s="73"/>
      <c r="S113" s="74"/>
      <c r="T113" s="74"/>
      <c r="U113" s="74"/>
      <c r="V113" s="74"/>
      <c r="W113" s="75"/>
      <c r="X113" s="73"/>
      <c r="Y113" s="74"/>
      <c r="Z113" s="74"/>
      <c r="AA113" s="74"/>
      <c r="AB113" s="74"/>
      <c r="AC113" s="74"/>
      <c r="AD113" s="74"/>
      <c r="AE113" s="75"/>
    </row>
  </sheetData>
  <mergeCells count="97">
    <mergeCell ref="P16:Q16"/>
    <mergeCell ref="N16:O16"/>
    <mergeCell ref="B1:F1"/>
    <mergeCell ref="B2:F2"/>
    <mergeCell ref="B3:F3"/>
    <mergeCell ref="B5:E5"/>
    <mergeCell ref="D16:E16"/>
    <mergeCell ref="F16:G16"/>
    <mergeCell ref="H16:I16"/>
    <mergeCell ref="J16:K16"/>
    <mergeCell ref="L16:M16"/>
    <mergeCell ref="R15:W15"/>
    <mergeCell ref="X15:AE15"/>
    <mergeCell ref="X14:AE14"/>
    <mergeCell ref="AD16:AE16"/>
    <mergeCell ref="B14:I14"/>
    <mergeCell ref="B15:I15"/>
    <mergeCell ref="J14:Q14"/>
    <mergeCell ref="J15:Q15"/>
    <mergeCell ref="R14:W14"/>
    <mergeCell ref="R16:S16"/>
    <mergeCell ref="T16:U16"/>
    <mergeCell ref="V16:W16"/>
    <mergeCell ref="X16:Y16"/>
    <mergeCell ref="Z16:AA16"/>
    <mergeCell ref="AB16:AC16"/>
    <mergeCell ref="B16:C16"/>
    <mergeCell ref="B44:I44"/>
    <mergeCell ref="J44:Q44"/>
    <mergeCell ref="R44:W44"/>
    <mergeCell ref="X44:AE44"/>
    <mergeCell ref="B45:I45"/>
    <mergeCell ref="J45:Q45"/>
    <mergeCell ref="R45:W45"/>
    <mergeCell ref="X45:AE45"/>
    <mergeCell ref="B46:C46"/>
    <mergeCell ref="D46:E46"/>
    <mergeCell ref="F46:G46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Z46:AA46"/>
    <mergeCell ref="AB46:AC46"/>
    <mergeCell ref="AD46:AE46"/>
    <mergeCell ref="B69:I69"/>
    <mergeCell ref="J69:Q69"/>
    <mergeCell ref="R69:W69"/>
    <mergeCell ref="X69:AE69"/>
    <mergeCell ref="B70:I70"/>
    <mergeCell ref="J70:Q70"/>
    <mergeCell ref="R70:W70"/>
    <mergeCell ref="X70:AE70"/>
    <mergeCell ref="R71:S71"/>
    <mergeCell ref="T71:U71"/>
    <mergeCell ref="B71:C71"/>
    <mergeCell ref="D71:E71"/>
    <mergeCell ref="F71:G71"/>
    <mergeCell ref="H71:I71"/>
    <mergeCell ref="J71:K71"/>
    <mergeCell ref="T95:U95"/>
    <mergeCell ref="V95:W95"/>
    <mergeCell ref="X95:Y95"/>
    <mergeCell ref="A44:A45"/>
    <mergeCell ref="B93:I93"/>
    <mergeCell ref="J93:Q93"/>
    <mergeCell ref="R93:W93"/>
    <mergeCell ref="X93:AE93"/>
    <mergeCell ref="V71:W71"/>
    <mergeCell ref="X71:Y71"/>
    <mergeCell ref="Z71:AA71"/>
    <mergeCell ref="AB71:AC71"/>
    <mergeCell ref="AD71:AE71"/>
    <mergeCell ref="L71:M71"/>
    <mergeCell ref="N71:O71"/>
    <mergeCell ref="P71:Q71"/>
    <mergeCell ref="Z95:AA95"/>
    <mergeCell ref="AB95:AC95"/>
    <mergeCell ref="AD95:AE95"/>
    <mergeCell ref="B94:I94"/>
    <mergeCell ref="J94:Q94"/>
    <mergeCell ref="R94:W94"/>
    <mergeCell ref="X94:AE94"/>
    <mergeCell ref="B95:C95"/>
    <mergeCell ref="D95:E95"/>
    <mergeCell ref="F95:G95"/>
    <mergeCell ref="H95:I95"/>
    <mergeCell ref="J95:K95"/>
    <mergeCell ref="L95:M95"/>
    <mergeCell ref="N95:O95"/>
    <mergeCell ref="P95:Q95"/>
    <mergeCell ref="R95:S95"/>
  </mergeCells>
  <phoneticPr fontId="24" type="noConversion"/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9251F-53D4-DB4F-88EF-4BB26E57C7A4}">
  <dimension ref="A1:B3"/>
  <sheetViews>
    <sheetView workbookViewId="0">
      <selection activeCell="F30" sqref="F30"/>
    </sheetView>
  </sheetViews>
  <sheetFormatPr baseColWidth="10" defaultRowHeight="16"/>
  <sheetData>
    <row r="1" spans="1:2">
      <c r="A1" t="s">
        <v>36</v>
      </c>
    </row>
    <row r="2" spans="1:2">
      <c r="A2" t="s">
        <v>35</v>
      </c>
      <c r="B2" t="s">
        <v>39</v>
      </c>
    </row>
    <row r="3" spans="1:2">
      <c r="A3" t="s">
        <v>37</v>
      </c>
      <c r="B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Re-shuffled mice</vt:lpstr>
      <vt:lpstr>Tumor measurement</vt:lpstr>
      <vt:lpstr>comments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2021-08-17T18:04:35Z</dcterms:created>
  <dcterms:modified xsi:type="dcterms:W3CDTF">2021-11-22T21:43:04Z</dcterms:modified>
</cp:coreProperties>
</file>