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4467383/Documents/DynamicDoseResponse/Xenographs/BD31/"/>
    </mc:Choice>
  </mc:AlternateContent>
  <xr:revisionPtr revIDLastSave="0" documentId="13_ncr:1_{27DF8358-623B-2640-B91E-B815C9C2911B}" xr6:coauthVersionLast="47" xr6:coauthVersionMax="47" xr10:uidLastSave="{00000000-0000-0000-0000-000000000000}"/>
  <bookViews>
    <workbookView xWindow="11240" yWindow="3160" windowWidth="29120" windowHeight="17520" xr2:uid="{BB31187D-08E5-0D42-9699-DC37A098ABF3}"/>
  </bookViews>
  <sheets>
    <sheet name="Tumor measurement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118" i="2" l="1"/>
  <c r="T118" i="2"/>
  <c r="U118" i="2"/>
  <c r="V118" i="2"/>
  <c r="W118" i="2"/>
  <c r="X118" i="2"/>
  <c r="Y118" i="2"/>
  <c r="Z118" i="2"/>
  <c r="AA118" i="2"/>
  <c r="AB118" i="2"/>
  <c r="AD118" i="2"/>
  <c r="AE118" i="2"/>
  <c r="S119" i="2"/>
  <c r="T119" i="2"/>
  <c r="U119" i="2"/>
  <c r="V119" i="2"/>
  <c r="W119" i="2"/>
  <c r="X119" i="2"/>
  <c r="Y119" i="2"/>
  <c r="Z119" i="2"/>
  <c r="AA119" i="2"/>
  <c r="AB119" i="2"/>
  <c r="AD119" i="2"/>
  <c r="AE119" i="2"/>
  <c r="R65" i="2"/>
  <c r="S65" i="2"/>
  <c r="T65" i="2"/>
  <c r="U65" i="2"/>
  <c r="V65" i="2"/>
  <c r="W65" i="2"/>
  <c r="X65" i="2"/>
  <c r="Y65" i="2"/>
  <c r="Z65" i="2"/>
  <c r="AA65" i="2"/>
  <c r="AB65" i="2"/>
  <c r="AC65" i="2"/>
  <c r="AD65" i="2"/>
  <c r="AE65" i="2"/>
  <c r="R66" i="2"/>
  <c r="S66" i="2"/>
  <c r="T66" i="2"/>
  <c r="U66" i="2"/>
  <c r="V66" i="2"/>
  <c r="W66" i="2"/>
  <c r="X66" i="2"/>
  <c r="Y66" i="2"/>
  <c r="Z66" i="2"/>
  <c r="AA66" i="2"/>
  <c r="AB66" i="2"/>
  <c r="AC66" i="2"/>
  <c r="AD66" i="2"/>
  <c r="AE66" i="2"/>
  <c r="B66" i="2"/>
  <c r="C66" i="2"/>
  <c r="D66" i="2"/>
  <c r="E66" i="2"/>
  <c r="F66" i="2"/>
  <c r="G66" i="2"/>
  <c r="H66" i="2"/>
  <c r="I66" i="2"/>
  <c r="J66" i="2"/>
  <c r="K66" i="2"/>
  <c r="L66" i="2"/>
  <c r="M66" i="2"/>
  <c r="N66" i="2"/>
  <c r="O66" i="2"/>
  <c r="P66" i="2"/>
  <c r="Q66" i="2"/>
  <c r="B65" i="2"/>
  <c r="C65" i="2"/>
  <c r="D65" i="2"/>
  <c r="E65" i="2"/>
  <c r="F65" i="2"/>
  <c r="G65" i="2"/>
  <c r="H65" i="2"/>
  <c r="I65" i="2"/>
  <c r="J65" i="2"/>
  <c r="K65" i="2"/>
  <c r="L65" i="2"/>
  <c r="M65" i="2"/>
  <c r="N65" i="2"/>
  <c r="O65" i="2"/>
  <c r="P65" i="2"/>
  <c r="Q65" i="2"/>
  <c r="R64" i="2"/>
  <c r="S64" i="2"/>
  <c r="T64" i="2"/>
  <c r="U64" i="2"/>
  <c r="V64" i="2"/>
  <c r="W64" i="2"/>
  <c r="X64" i="2"/>
  <c r="Y64" i="2"/>
  <c r="Z64" i="2"/>
  <c r="AA64" i="2"/>
  <c r="AB64" i="2"/>
  <c r="AC64" i="2"/>
  <c r="AD64" i="2"/>
  <c r="AE64" i="2"/>
  <c r="B64" i="2"/>
  <c r="C64" i="2"/>
  <c r="D64" i="2"/>
  <c r="E64" i="2"/>
  <c r="F64" i="2"/>
  <c r="G64" i="2"/>
  <c r="H64" i="2"/>
  <c r="I64" i="2"/>
  <c r="J64" i="2"/>
  <c r="K64" i="2"/>
  <c r="L64" i="2"/>
  <c r="M64" i="2"/>
  <c r="N64" i="2"/>
  <c r="O64" i="2"/>
  <c r="P64" i="2"/>
  <c r="Q64" i="2"/>
  <c r="R61" i="2"/>
  <c r="S61" i="2"/>
  <c r="R62" i="2"/>
  <c r="S62" i="2"/>
  <c r="R63" i="2"/>
  <c r="S63" i="2"/>
  <c r="T61" i="2"/>
  <c r="U61" i="2"/>
  <c r="T62" i="2"/>
  <c r="U62" i="2"/>
  <c r="T63" i="2"/>
  <c r="U63" i="2"/>
  <c r="U60" i="2"/>
  <c r="B63" i="2"/>
  <c r="C63" i="2"/>
  <c r="D63" i="2"/>
  <c r="E63" i="2"/>
  <c r="F63" i="2"/>
  <c r="G63" i="2"/>
  <c r="H63" i="2"/>
  <c r="I63" i="2"/>
  <c r="J63" i="2"/>
  <c r="K63" i="2"/>
  <c r="L63" i="2"/>
  <c r="M63" i="2"/>
  <c r="N63" i="2"/>
  <c r="O63" i="2"/>
  <c r="P63" i="2"/>
  <c r="Q63" i="2"/>
  <c r="V63" i="2"/>
  <c r="W63" i="2"/>
  <c r="X63" i="2"/>
  <c r="Y63" i="2"/>
  <c r="Z63" i="2"/>
  <c r="AA63" i="2"/>
  <c r="AB63" i="2"/>
  <c r="AC63" i="2"/>
  <c r="AD63" i="2"/>
  <c r="AE63" i="2"/>
  <c r="Y62" i="2"/>
  <c r="Z62" i="2"/>
  <c r="AA62" i="2"/>
  <c r="AB62" i="2"/>
  <c r="AC62" i="2"/>
  <c r="AD62" i="2"/>
  <c r="AE62" i="2"/>
  <c r="B62" i="2"/>
  <c r="C62" i="2"/>
  <c r="D62" i="2"/>
  <c r="E62" i="2"/>
  <c r="F62" i="2"/>
  <c r="G62" i="2"/>
  <c r="H62" i="2"/>
  <c r="I62" i="2"/>
  <c r="J62" i="2"/>
  <c r="K62" i="2"/>
  <c r="L62" i="2"/>
  <c r="M62" i="2"/>
  <c r="N62" i="2"/>
  <c r="O62" i="2"/>
  <c r="P62" i="2"/>
  <c r="Q62" i="2"/>
  <c r="V62" i="2"/>
  <c r="W62" i="2"/>
  <c r="X62" i="2"/>
  <c r="V61" i="2"/>
  <c r="W61" i="2"/>
  <c r="X61" i="2"/>
  <c r="Y61" i="2"/>
  <c r="Z61" i="2"/>
  <c r="AA61" i="2"/>
  <c r="AB61" i="2"/>
  <c r="AC61" i="2"/>
  <c r="AD61" i="2"/>
  <c r="AE61" i="2"/>
  <c r="B61" i="2"/>
  <c r="C61" i="2"/>
  <c r="D61" i="2"/>
  <c r="E61" i="2"/>
  <c r="F61" i="2"/>
  <c r="G61" i="2"/>
  <c r="H61" i="2"/>
  <c r="I61" i="2"/>
  <c r="J61" i="2"/>
  <c r="K61" i="2"/>
  <c r="L61" i="2"/>
  <c r="M61" i="2"/>
  <c r="N61" i="2"/>
  <c r="O61" i="2"/>
  <c r="P61" i="2"/>
  <c r="Q61" i="2"/>
  <c r="B60" i="2" l="1"/>
  <c r="C60" i="2"/>
  <c r="D60" i="2"/>
  <c r="E60" i="2"/>
  <c r="F60" i="2"/>
  <c r="G60" i="2"/>
  <c r="H60" i="2"/>
  <c r="I60" i="2"/>
  <c r="J60" i="2"/>
  <c r="K60" i="2"/>
  <c r="L60" i="2"/>
  <c r="M60" i="2"/>
  <c r="N60" i="2"/>
  <c r="O60" i="2"/>
  <c r="P60" i="2"/>
  <c r="Q60" i="2"/>
  <c r="R60" i="2"/>
  <c r="S60" i="2"/>
  <c r="T60" i="2"/>
  <c r="V60" i="2"/>
  <c r="W60" i="2"/>
  <c r="X60" i="2"/>
  <c r="Y60" i="2"/>
  <c r="Z60" i="2"/>
  <c r="AA60" i="2"/>
  <c r="AB60" i="2"/>
  <c r="AC60" i="2"/>
  <c r="AD60" i="2"/>
  <c r="AE60" i="2"/>
  <c r="R59" i="2"/>
  <c r="S59" i="2"/>
  <c r="T59" i="2"/>
  <c r="U59" i="2"/>
  <c r="V59" i="2"/>
  <c r="W59" i="2"/>
  <c r="X59" i="2"/>
  <c r="Y59" i="2"/>
  <c r="Z59" i="2"/>
  <c r="AA59" i="2"/>
  <c r="AB59" i="2"/>
  <c r="AC59" i="2"/>
  <c r="AD59" i="2"/>
  <c r="AE59" i="2"/>
  <c r="B59" i="2"/>
  <c r="C59" i="2"/>
  <c r="D59" i="2"/>
  <c r="E59" i="2"/>
  <c r="F59" i="2"/>
  <c r="G59" i="2"/>
  <c r="H59" i="2"/>
  <c r="I59" i="2"/>
  <c r="J59" i="2"/>
  <c r="K59" i="2"/>
  <c r="L59" i="2"/>
  <c r="M59" i="2"/>
  <c r="N59" i="2"/>
  <c r="O59" i="2"/>
  <c r="P59" i="2"/>
  <c r="Q59" i="2"/>
  <c r="P58" i="2"/>
  <c r="Q58" i="2"/>
  <c r="R58" i="2"/>
  <c r="S58" i="2"/>
  <c r="T58" i="2"/>
  <c r="U58" i="2"/>
  <c r="V58" i="2"/>
  <c r="W58" i="2"/>
  <c r="X58" i="2"/>
  <c r="Y58" i="2"/>
  <c r="Z58" i="2"/>
  <c r="AA58" i="2"/>
  <c r="AB58" i="2"/>
  <c r="AC58" i="2"/>
  <c r="AD58" i="2"/>
  <c r="AE58" i="2"/>
  <c r="B58" i="2"/>
  <c r="C58" i="2"/>
  <c r="D58" i="2"/>
  <c r="E58" i="2"/>
  <c r="F58" i="2"/>
  <c r="G58" i="2"/>
  <c r="H58" i="2"/>
  <c r="I58" i="2"/>
  <c r="J58" i="2"/>
  <c r="K58" i="2"/>
  <c r="L58" i="2"/>
  <c r="M58" i="2"/>
  <c r="N58" i="2"/>
  <c r="O58" i="2"/>
  <c r="U57" i="2"/>
  <c r="V57" i="2"/>
  <c r="W57" i="2"/>
  <c r="X57" i="2"/>
  <c r="Y57" i="2"/>
  <c r="Z57" i="2"/>
  <c r="AA57" i="2"/>
  <c r="AB57" i="2"/>
  <c r="AC57" i="2"/>
  <c r="AD57" i="2"/>
  <c r="AE57" i="2"/>
  <c r="B57" i="2"/>
  <c r="C57" i="2"/>
  <c r="D57" i="2"/>
  <c r="E57" i="2"/>
  <c r="F57" i="2"/>
  <c r="G57" i="2"/>
  <c r="H57" i="2"/>
  <c r="I57" i="2"/>
  <c r="J57" i="2"/>
  <c r="K57" i="2"/>
  <c r="L57" i="2"/>
  <c r="M57" i="2"/>
  <c r="N57" i="2"/>
  <c r="O57" i="2"/>
  <c r="P57" i="2"/>
  <c r="Q57" i="2"/>
  <c r="R57" i="2"/>
  <c r="S57" i="2"/>
  <c r="T57" i="2"/>
  <c r="R56" i="2"/>
  <c r="S56" i="2"/>
  <c r="T56" i="2"/>
  <c r="U56" i="2"/>
  <c r="V56" i="2"/>
  <c r="W56" i="2"/>
  <c r="X56" i="2"/>
  <c r="Y56" i="2"/>
  <c r="Z56" i="2"/>
  <c r="AA56" i="2"/>
  <c r="AB56" i="2"/>
  <c r="AC56" i="2"/>
  <c r="AD56" i="2"/>
  <c r="AE56" i="2"/>
  <c r="B56" i="2"/>
  <c r="C56" i="2"/>
  <c r="D56" i="2"/>
  <c r="E56" i="2"/>
  <c r="F56" i="2"/>
  <c r="G56" i="2"/>
  <c r="H56" i="2"/>
  <c r="I56" i="2"/>
  <c r="J56" i="2"/>
  <c r="K56" i="2"/>
  <c r="L56" i="2"/>
  <c r="M56" i="2"/>
  <c r="N56" i="2"/>
  <c r="O56" i="2"/>
  <c r="P56" i="2"/>
  <c r="Q56" i="2"/>
  <c r="S55" i="2"/>
  <c r="T55" i="2"/>
  <c r="U55" i="2"/>
  <c r="V55" i="2"/>
  <c r="W55" i="2"/>
  <c r="X55" i="2"/>
  <c r="Y55" i="2"/>
  <c r="Z55" i="2"/>
  <c r="AA55" i="2"/>
  <c r="AB55" i="2"/>
  <c r="AC55" i="2"/>
  <c r="AD55" i="2"/>
  <c r="AE55" i="2"/>
  <c r="B55" i="2"/>
  <c r="C55" i="2"/>
  <c r="D55" i="2"/>
  <c r="E55" i="2"/>
  <c r="F55" i="2"/>
  <c r="G55" i="2"/>
  <c r="H55" i="2"/>
  <c r="I55" i="2"/>
  <c r="J55" i="2"/>
  <c r="K55" i="2"/>
  <c r="L55" i="2"/>
  <c r="M55" i="2"/>
  <c r="N55" i="2"/>
  <c r="O55" i="2"/>
  <c r="P55" i="2"/>
  <c r="Q55" i="2"/>
  <c r="R55" i="2"/>
  <c r="S54" i="2" l="1"/>
  <c r="T54" i="2"/>
  <c r="U54" i="2"/>
  <c r="V54" i="2"/>
  <c r="W54" i="2"/>
  <c r="X54" i="2"/>
  <c r="Y54" i="2"/>
  <c r="Z54" i="2"/>
  <c r="AA54" i="2"/>
  <c r="AB54" i="2"/>
  <c r="AC54" i="2"/>
  <c r="AD54" i="2"/>
  <c r="AE54" i="2"/>
  <c r="B54" i="2"/>
  <c r="C54" i="2"/>
  <c r="D54" i="2"/>
  <c r="E54" i="2"/>
  <c r="F54" i="2"/>
  <c r="G54" i="2"/>
  <c r="H54" i="2"/>
  <c r="I54" i="2"/>
  <c r="J54" i="2"/>
  <c r="K54" i="2"/>
  <c r="L54" i="2"/>
  <c r="M54" i="2"/>
  <c r="N54" i="2"/>
  <c r="O54" i="2"/>
  <c r="P54" i="2"/>
  <c r="Q54" i="2"/>
  <c r="R54" i="2"/>
  <c r="Z53" i="2"/>
  <c r="AA53" i="2"/>
  <c r="AB53" i="2"/>
  <c r="AC53" i="2"/>
  <c r="AD53" i="2"/>
  <c r="AE53" i="2"/>
  <c r="J53" i="2"/>
  <c r="K53" i="2"/>
  <c r="L53" i="2"/>
  <c r="M53" i="2"/>
  <c r="N53" i="2"/>
  <c r="O53" i="2"/>
  <c r="P53" i="2"/>
  <c r="Q53" i="2"/>
  <c r="R53" i="2"/>
  <c r="S53" i="2"/>
  <c r="T53" i="2"/>
  <c r="U53" i="2"/>
  <c r="V53" i="2"/>
  <c r="W53" i="2"/>
  <c r="X53" i="2"/>
  <c r="Y53" i="2"/>
  <c r="B53" i="2"/>
  <c r="C53" i="2"/>
  <c r="D53" i="2"/>
  <c r="E53" i="2"/>
  <c r="F53" i="2"/>
  <c r="G53" i="2"/>
  <c r="H53" i="2"/>
  <c r="I53" i="2"/>
  <c r="O52" i="2"/>
  <c r="Z52" i="2"/>
  <c r="AA52" i="2"/>
  <c r="AB52" i="2"/>
  <c r="AC52" i="2"/>
  <c r="AD52" i="2"/>
  <c r="AE52" i="2"/>
  <c r="B52" i="2"/>
  <c r="C52" i="2"/>
  <c r="D52" i="2"/>
  <c r="E52" i="2"/>
  <c r="F52" i="2"/>
  <c r="G52" i="2"/>
  <c r="H52" i="2"/>
  <c r="I52" i="2"/>
  <c r="J52" i="2"/>
  <c r="K52" i="2"/>
  <c r="L52" i="2"/>
  <c r="M52" i="2"/>
  <c r="N52" i="2"/>
  <c r="P52" i="2"/>
  <c r="Q52" i="2"/>
  <c r="R52" i="2"/>
  <c r="S52" i="2"/>
  <c r="T52" i="2"/>
  <c r="U52" i="2"/>
  <c r="V52" i="2"/>
  <c r="W52" i="2"/>
  <c r="X52" i="2"/>
  <c r="Y52" i="2"/>
  <c r="B51" i="2"/>
  <c r="C51" i="2"/>
  <c r="D51" i="2"/>
  <c r="E51" i="2"/>
  <c r="F51" i="2"/>
  <c r="G51" i="2"/>
  <c r="H51" i="2"/>
  <c r="I51" i="2"/>
  <c r="J51" i="2"/>
  <c r="K51" i="2"/>
  <c r="L51" i="2"/>
  <c r="M51" i="2"/>
  <c r="N51" i="2"/>
  <c r="O51" i="2"/>
  <c r="P51" i="2"/>
  <c r="Q51" i="2"/>
  <c r="R51" i="2"/>
  <c r="S51" i="2"/>
  <c r="T51" i="2"/>
  <c r="U51" i="2"/>
  <c r="V51" i="2"/>
  <c r="W51" i="2"/>
  <c r="X51" i="2"/>
  <c r="Y51" i="2"/>
  <c r="Z51" i="2"/>
  <c r="AA51" i="2"/>
  <c r="AB51" i="2"/>
  <c r="AC51" i="2"/>
  <c r="AD51" i="2"/>
  <c r="AE51" i="2"/>
  <c r="AE50" i="2"/>
  <c r="V50" i="2"/>
  <c r="W50" i="2"/>
  <c r="X50" i="2"/>
  <c r="Y50" i="2"/>
  <c r="Z50" i="2"/>
  <c r="AA50" i="2"/>
  <c r="AB50" i="2"/>
  <c r="AC50" i="2"/>
  <c r="AD50" i="2"/>
  <c r="C50" i="2"/>
  <c r="D50" i="2"/>
  <c r="E50" i="2"/>
  <c r="F50" i="2"/>
  <c r="G50" i="2"/>
  <c r="H50" i="2"/>
  <c r="I50" i="2"/>
  <c r="J50" i="2"/>
  <c r="K50" i="2"/>
  <c r="L50" i="2"/>
  <c r="M50" i="2"/>
  <c r="N50" i="2"/>
  <c r="O50" i="2"/>
  <c r="P50" i="2"/>
  <c r="Q50" i="2"/>
  <c r="R50" i="2"/>
  <c r="S50" i="2"/>
  <c r="T50" i="2"/>
  <c r="U50" i="2"/>
  <c r="B50" i="2"/>
  <c r="P93" i="2" l="1"/>
  <c r="P119" i="2" s="1"/>
  <c r="P92" i="2"/>
  <c r="P118" i="2" s="1"/>
  <c r="H91" i="2"/>
  <c r="H117" i="2" s="1"/>
  <c r="H92" i="2"/>
  <c r="H118" i="2" s="1"/>
  <c r="H93" i="2"/>
  <c r="H119" i="2" s="1"/>
  <c r="O91" i="2"/>
  <c r="O117" i="2" s="1"/>
  <c r="O92" i="2"/>
  <c r="O118" i="2" s="1"/>
  <c r="O93" i="2"/>
  <c r="O119" i="2" s="1"/>
  <c r="F92" i="2"/>
  <c r="F118" i="2" s="1"/>
  <c r="F93" i="2"/>
  <c r="F119" i="2" s="1"/>
  <c r="M91" i="2"/>
  <c r="M117" i="2" s="1"/>
  <c r="M92" i="2"/>
  <c r="M118" i="2" s="1"/>
  <c r="M93" i="2"/>
  <c r="M119" i="2" s="1"/>
  <c r="AA93" i="2"/>
  <c r="AA92" i="2"/>
  <c r="Z91" i="2"/>
  <c r="Z117" i="2" s="1"/>
  <c r="Z93" i="2"/>
  <c r="Z92" i="2"/>
  <c r="G91" i="2"/>
  <c r="G117" i="2" s="1"/>
  <c r="G93" i="2"/>
  <c r="G119" i="2" s="1"/>
  <c r="G92" i="2"/>
  <c r="G118" i="2" s="1"/>
  <c r="N91" i="2"/>
  <c r="N117" i="2" s="1"/>
  <c r="N92" i="2"/>
  <c r="N118" i="2" s="1"/>
  <c r="N93" i="2"/>
  <c r="N119" i="2" s="1"/>
  <c r="U91" i="2"/>
  <c r="U117" i="2" s="1"/>
  <c r="U93" i="2"/>
  <c r="U92" i="2"/>
  <c r="Y91" i="2"/>
  <c r="Y117" i="2" s="1"/>
  <c r="Y92" i="2"/>
  <c r="Y93" i="2"/>
  <c r="L91" i="2"/>
  <c r="L117" i="2" s="1"/>
  <c r="L92" i="2"/>
  <c r="L118" i="2" s="1"/>
  <c r="L93" i="2"/>
  <c r="L119" i="2" s="1"/>
  <c r="C91" i="2"/>
  <c r="C117" i="2" s="1"/>
  <c r="C92" i="2"/>
  <c r="C118" i="2" s="1"/>
  <c r="C93" i="2"/>
  <c r="C119" i="2" s="1"/>
  <c r="B91" i="2"/>
  <c r="B117" i="2" s="1"/>
  <c r="B93" i="2"/>
  <c r="B119" i="2" s="1"/>
  <c r="B92" i="2"/>
  <c r="B118" i="2" s="1"/>
  <c r="E91" i="2"/>
  <c r="E117" i="2" s="1"/>
  <c r="E92" i="2"/>
  <c r="E118" i="2" s="1"/>
  <c r="E93" i="2"/>
  <c r="E119" i="2" s="1"/>
  <c r="T93" i="2"/>
  <c r="T92" i="2"/>
  <c r="X91" i="2"/>
  <c r="X117" i="2" s="1"/>
  <c r="X92" i="2"/>
  <c r="X93" i="2"/>
  <c r="AB93" i="2"/>
  <c r="AB92" i="2"/>
  <c r="D91" i="2"/>
  <c r="D117" i="2" s="1"/>
  <c r="D92" i="2"/>
  <c r="D118" i="2" s="1"/>
  <c r="D93" i="2"/>
  <c r="D119" i="2" s="1"/>
  <c r="S91" i="2"/>
  <c r="S117" i="2" s="1"/>
  <c r="S93" i="2"/>
  <c r="S92" i="2"/>
  <c r="K91" i="2"/>
  <c r="K117" i="2" s="1"/>
  <c r="K93" i="2"/>
  <c r="K119" i="2" s="1"/>
  <c r="K92" i="2"/>
  <c r="K118" i="2" s="1"/>
  <c r="W91" i="2"/>
  <c r="W117" i="2" s="1"/>
  <c r="W92" i="2"/>
  <c r="W93" i="2"/>
  <c r="R93" i="2"/>
  <c r="R119" i="2" s="1"/>
  <c r="R92" i="2"/>
  <c r="R118" i="2" s="1"/>
  <c r="J91" i="2"/>
  <c r="J117" i="2" s="1"/>
  <c r="J93" i="2"/>
  <c r="J119" i="2" s="1"/>
  <c r="J92" i="2"/>
  <c r="J118" i="2" s="1"/>
  <c r="AD91" i="2"/>
  <c r="AD117" i="2" s="1"/>
  <c r="AD93" i="2"/>
  <c r="AD92" i="2"/>
  <c r="V91" i="2"/>
  <c r="V117" i="2" s="1"/>
  <c r="V93" i="2"/>
  <c r="V92" i="2"/>
  <c r="Q91" i="2"/>
  <c r="Q117" i="2" s="1"/>
  <c r="Q92" i="2"/>
  <c r="Q118" i="2" s="1"/>
  <c r="Q93" i="2"/>
  <c r="Q119" i="2" s="1"/>
  <c r="I91" i="2"/>
  <c r="I117" i="2" s="1"/>
  <c r="I92" i="2"/>
  <c r="I118" i="2" s="1"/>
  <c r="I93" i="2"/>
  <c r="I119" i="2" s="1"/>
  <c r="AC91" i="2"/>
  <c r="AC117" i="2" s="1"/>
  <c r="AC92" i="2"/>
  <c r="AC118" i="2" s="1"/>
  <c r="AC93" i="2"/>
  <c r="AC119" i="2" s="1"/>
  <c r="AE91" i="2"/>
  <c r="AE117" i="2" s="1"/>
  <c r="AE92" i="2"/>
  <c r="AE93" i="2"/>
  <c r="AA90" i="2"/>
  <c r="AA116" i="2" s="1"/>
  <c r="AA91" i="2"/>
  <c r="AA117" i="2" s="1"/>
  <c r="AB90" i="2"/>
  <c r="AB116" i="2" s="1"/>
  <c r="AB91" i="2"/>
  <c r="AB117" i="2" s="1"/>
  <c r="F90" i="2"/>
  <c r="F116" i="2" s="1"/>
  <c r="F91" i="2"/>
  <c r="F117" i="2" s="1"/>
  <c r="T87" i="2"/>
  <c r="T91" i="2"/>
  <c r="T117" i="2" s="1"/>
  <c r="P90" i="2"/>
  <c r="P116" i="2" s="1"/>
  <c r="P91" i="2"/>
  <c r="P117" i="2" s="1"/>
  <c r="R87" i="2"/>
  <c r="R91" i="2"/>
  <c r="R117" i="2" s="1"/>
  <c r="Q89" i="2"/>
  <c r="Q115" i="2" s="1"/>
  <c r="Q90" i="2"/>
  <c r="Q116" i="2" s="1"/>
  <c r="I89" i="2"/>
  <c r="I115" i="2" s="1"/>
  <c r="I90" i="2"/>
  <c r="I116" i="2" s="1"/>
  <c r="AC89" i="2"/>
  <c r="AC115" i="2" s="1"/>
  <c r="AC90" i="2"/>
  <c r="AC116" i="2" s="1"/>
  <c r="AE89" i="2"/>
  <c r="AE115" i="2" s="1"/>
  <c r="AE90" i="2"/>
  <c r="AE116" i="2" s="1"/>
  <c r="V90" i="2"/>
  <c r="V116" i="2" s="1"/>
  <c r="V88" i="2"/>
  <c r="V114" i="2" s="1"/>
  <c r="V89" i="2"/>
  <c r="V115" i="2" s="1"/>
  <c r="H89" i="2"/>
  <c r="H115" i="2" s="1"/>
  <c r="H90" i="2"/>
  <c r="H116" i="2" s="1"/>
  <c r="S89" i="2"/>
  <c r="S115" i="2" s="1"/>
  <c r="S90" i="2"/>
  <c r="S116" i="2" s="1"/>
  <c r="S88" i="2"/>
  <c r="S114" i="2" s="1"/>
  <c r="O89" i="2"/>
  <c r="O115" i="2" s="1"/>
  <c r="O90" i="2"/>
  <c r="O116" i="2" s="1"/>
  <c r="C89" i="2"/>
  <c r="C115" i="2" s="1"/>
  <c r="C90" i="2"/>
  <c r="C116" i="2" s="1"/>
  <c r="AD89" i="2"/>
  <c r="AD115" i="2" s="1"/>
  <c r="AD90" i="2"/>
  <c r="AD116" i="2" s="1"/>
  <c r="G89" i="2"/>
  <c r="G115" i="2" s="1"/>
  <c r="G90" i="2"/>
  <c r="G116" i="2" s="1"/>
  <c r="S87" i="2"/>
  <c r="K89" i="2"/>
  <c r="K115" i="2" s="1"/>
  <c r="K90" i="2"/>
  <c r="K116" i="2" s="1"/>
  <c r="J89" i="2"/>
  <c r="J115" i="2" s="1"/>
  <c r="J90" i="2"/>
  <c r="J116" i="2" s="1"/>
  <c r="B89" i="2"/>
  <c r="B115" i="2" s="1"/>
  <c r="B90" i="2"/>
  <c r="B116" i="2" s="1"/>
  <c r="V87" i="2"/>
  <c r="W90" i="2"/>
  <c r="W116" i="2" s="1"/>
  <c r="W89" i="2"/>
  <c r="W115" i="2" s="1"/>
  <c r="W88" i="2"/>
  <c r="W114" i="2" s="1"/>
  <c r="R89" i="2"/>
  <c r="R115" i="2" s="1"/>
  <c r="R88" i="2"/>
  <c r="R114" i="2" s="1"/>
  <c r="R90" i="2"/>
  <c r="R116" i="2" s="1"/>
  <c r="N89" i="2"/>
  <c r="N115" i="2" s="1"/>
  <c r="N90" i="2"/>
  <c r="N116" i="2" s="1"/>
  <c r="Z89" i="2"/>
  <c r="Z115" i="2" s="1"/>
  <c r="Z90" i="2"/>
  <c r="Z116" i="2" s="1"/>
  <c r="U90" i="2"/>
  <c r="U116" i="2" s="1"/>
  <c r="U89" i="2"/>
  <c r="U115" i="2" s="1"/>
  <c r="U87" i="2"/>
  <c r="U113" i="2" s="1"/>
  <c r="U88" i="2"/>
  <c r="U114" i="2" s="1"/>
  <c r="M89" i="2"/>
  <c r="M115" i="2" s="1"/>
  <c r="M90" i="2"/>
  <c r="M116" i="2" s="1"/>
  <c r="E89" i="2"/>
  <c r="E115" i="2" s="1"/>
  <c r="E90" i="2"/>
  <c r="E116" i="2" s="1"/>
  <c r="Y89" i="2"/>
  <c r="Y115" i="2" s="1"/>
  <c r="Y90" i="2"/>
  <c r="Y116" i="2" s="1"/>
  <c r="T90" i="2"/>
  <c r="T116" i="2" s="1"/>
  <c r="T89" i="2"/>
  <c r="T115" i="2" s="1"/>
  <c r="T88" i="2"/>
  <c r="T114" i="2" s="1"/>
  <c r="L89" i="2"/>
  <c r="L115" i="2" s="1"/>
  <c r="L90" i="2"/>
  <c r="L116" i="2" s="1"/>
  <c r="D89" i="2"/>
  <c r="D115" i="2" s="1"/>
  <c r="D90" i="2"/>
  <c r="D116" i="2" s="1"/>
  <c r="X89" i="2"/>
  <c r="X115" i="2" s="1"/>
  <c r="X90" i="2"/>
  <c r="X116" i="2" s="1"/>
  <c r="W87" i="2"/>
  <c r="AB88" i="2"/>
  <c r="AB114" i="2" s="1"/>
  <c r="AB89" i="2"/>
  <c r="AB115" i="2" s="1"/>
  <c r="F88" i="2"/>
  <c r="F114" i="2" s="1"/>
  <c r="F89" i="2"/>
  <c r="F115" i="2" s="1"/>
  <c r="P88" i="2"/>
  <c r="P114" i="2" s="1"/>
  <c r="P89" i="2"/>
  <c r="P115" i="2" s="1"/>
  <c r="AA88" i="2"/>
  <c r="AA114" i="2" s="1"/>
  <c r="AA89" i="2"/>
  <c r="AA115" i="2" s="1"/>
  <c r="H85" i="2"/>
  <c r="H111" i="2" s="1"/>
  <c r="H88" i="2"/>
  <c r="H114" i="2" s="1"/>
  <c r="O85" i="2"/>
  <c r="O111" i="2" s="1"/>
  <c r="O88" i="2"/>
  <c r="O114" i="2" s="1"/>
  <c r="G86" i="2"/>
  <c r="G112" i="2" s="1"/>
  <c r="G88" i="2"/>
  <c r="G114" i="2" s="1"/>
  <c r="N84" i="2"/>
  <c r="N110" i="2" s="1"/>
  <c r="N88" i="2"/>
  <c r="N114" i="2" s="1"/>
  <c r="U85" i="2"/>
  <c r="U111" i="2" s="1"/>
  <c r="M87" i="2"/>
  <c r="M113" i="2" s="1"/>
  <c r="M88" i="2"/>
  <c r="M114" i="2" s="1"/>
  <c r="E87" i="2"/>
  <c r="E113" i="2" s="1"/>
  <c r="E88" i="2"/>
  <c r="E114" i="2" s="1"/>
  <c r="Y83" i="2"/>
  <c r="Y109" i="2" s="1"/>
  <c r="Y88" i="2"/>
  <c r="Y114" i="2" s="1"/>
  <c r="B83" i="2"/>
  <c r="B109" i="2" s="1"/>
  <c r="B88" i="2"/>
  <c r="B114" i="2" s="1"/>
  <c r="Z84" i="2"/>
  <c r="Z110" i="2" s="1"/>
  <c r="Z88" i="2"/>
  <c r="Z114" i="2" s="1"/>
  <c r="T84" i="2"/>
  <c r="T110" i="2" s="1"/>
  <c r="L77" i="2"/>
  <c r="L103" i="2" s="1"/>
  <c r="L88" i="2"/>
  <c r="L114" i="2" s="1"/>
  <c r="D84" i="2"/>
  <c r="D110" i="2" s="1"/>
  <c r="D88" i="2"/>
  <c r="D114" i="2" s="1"/>
  <c r="X87" i="2"/>
  <c r="X113" i="2" s="1"/>
  <c r="X88" i="2"/>
  <c r="X114" i="2" s="1"/>
  <c r="S86" i="2"/>
  <c r="S112" i="2" s="1"/>
  <c r="K83" i="2"/>
  <c r="K109" i="2" s="1"/>
  <c r="K88" i="2"/>
  <c r="K114" i="2" s="1"/>
  <c r="C84" i="2"/>
  <c r="C110" i="2" s="1"/>
  <c r="C88" i="2"/>
  <c r="C114" i="2" s="1"/>
  <c r="W83" i="2"/>
  <c r="W109" i="2" s="1"/>
  <c r="R84" i="2"/>
  <c r="R110" i="2" s="1"/>
  <c r="J87" i="2"/>
  <c r="J113" i="2" s="1"/>
  <c r="J88" i="2"/>
  <c r="J114" i="2" s="1"/>
  <c r="AD83" i="2"/>
  <c r="AD109" i="2" s="1"/>
  <c r="AD88" i="2"/>
  <c r="AD114" i="2" s="1"/>
  <c r="V83" i="2"/>
  <c r="V109" i="2" s="1"/>
  <c r="Q87" i="2"/>
  <c r="Q113" i="2" s="1"/>
  <c r="Q88" i="2"/>
  <c r="Q114" i="2" s="1"/>
  <c r="I86" i="2"/>
  <c r="I112" i="2" s="1"/>
  <c r="I88" i="2"/>
  <c r="I114" i="2" s="1"/>
  <c r="AC85" i="2"/>
  <c r="AC111" i="2" s="1"/>
  <c r="AC88" i="2"/>
  <c r="AC114" i="2" s="1"/>
  <c r="AE83" i="2"/>
  <c r="AE109" i="2" s="1"/>
  <c r="AE88" i="2"/>
  <c r="AE114" i="2" s="1"/>
  <c r="AB78" i="2"/>
  <c r="AB104" i="2" s="1"/>
  <c r="T78" i="2"/>
  <c r="T104" i="2" s="1"/>
  <c r="L78" i="2"/>
  <c r="L104" i="2" s="1"/>
  <c r="D78" i="2"/>
  <c r="D104" i="2" s="1"/>
  <c r="G79" i="2"/>
  <c r="G105" i="2" s="1"/>
  <c r="T79" i="2"/>
  <c r="T105" i="2" s="1"/>
  <c r="V81" i="2"/>
  <c r="V107" i="2" s="1"/>
  <c r="I78" i="2"/>
  <c r="I104" i="2" s="1"/>
  <c r="G77" i="2"/>
  <c r="G103" i="2" s="1"/>
  <c r="X79" i="2"/>
  <c r="X105" i="2" s="1"/>
  <c r="V80" i="2"/>
  <c r="V106" i="2" s="1"/>
  <c r="W79" i="2"/>
  <c r="W105" i="2" s="1"/>
  <c r="AB79" i="2"/>
  <c r="AB105" i="2" s="1"/>
  <c r="J83" i="2"/>
  <c r="J109" i="2" s="1"/>
  <c r="N79" i="2"/>
  <c r="N105" i="2" s="1"/>
  <c r="F79" i="2"/>
  <c r="F105" i="2" s="1"/>
  <c r="L87" i="2"/>
  <c r="L113" i="2" s="1"/>
  <c r="Y84" i="2"/>
  <c r="Y110" i="2" s="1"/>
  <c r="M81" i="2"/>
  <c r="M107" i="2" s="1"/>
  <c r="E81" i="2"/>
  <c r="E107" i="2" s="1"/>
  <c r="S81" i="2"/>
  <c r="S107" i="2" s="1"/>
  <c r="J78" i="2"/>
  <c r="J104" i="2" s="1"/>
  <c r="D80" i="2"/>
  <c r="D106" i="2" s="1"/>
  <c r="T80" i="2"/>
  <c r="T106" i="2" s="1"/>
  <c r="L80" i="2"/>
  <c r="L106" i="2" s="1"/>
  <c r="Z80" i="2"/>
  <c r="Z106" i="2" s="1"/>
  <c r="AD86" i="2"/>
  <c r="AD112" i="2" s="1"/>
  <c r="Y78" i="2"/>
  <c r="Y104" i="2" s="1"/>
  <c r="AE78" i="2"/>
  <c r="AE104" i="2" s="1"/>
  <c r="W78" i="2"/>
  <c r="W104" i="2" s="1"/>
  <c r="O78" i="2"/>
  <c r="O104" i="2" s="1"/>
  <c r="G78" i="2"/>
  <c r="G104" i="2" s="1"/>
  <c r="J79" i="2"/>
  <c r="J105" i="2" s="1"/>
  <c r="C87" i="2"/>
  <c r="C113" i="2" s="1"/>
  <c r="Q80" i="2"/>
  <c r="Q106" i="2" s="1"/>
  <c r="AA80" i="2"/>
  <c r="AA106" i="2" s="1"/>
  <c r="AD78" i="2"/>
  <c r="AD104" i="2" s="1"/>
  <c r="V78" i="2"/>
  <c r="V104" i="2" s="1"/>
  <c r="AE77" i="2"/>
  <c r="AE103" i="2" s="1"/>
  <c r="I79" i="2"/>
  <c r="I105" i="2" s="1"/>
  <c r="AE79" i="2"/>
  <c r="AE105" i="2" s="1"/>
  <c r="K87" i="2"/>
  <c r="K113" i="2" s="1"/>
  <c r="I85" i="2"/>
  <c r="I111" i="2" s="1"/>
  <c r="AB82" i="2"/>
  <c r="AB108" i="2" s="1"/>
  <c r="AB85" i="2"/>
  <c r="AB111" i="2" s="1"/>
  <c r="AB86" i="2"/>
  <c r="AB112" i="2" s="1"/>
  <c r="AB87" i="2"/>
  <c r="AB113" i="2" s="1"/>
  <c r="G87" i="2"/>
  <c r="G113" i="2" s="1"/>
  <c r="AA84" i="2"/>
  <c r="AA110" i="2" s="1"/>
  <c r="P80" i="2"/>
  <c r="P106" i="2" s="1"/>
  <c r="P84" i="2"/>
  <c r="P110" i="2" s="1"/>
  <c r="P87" i="2"/>
  <c r="P113" i="2" s="1"/>
  <c r="O82" i="2"/>
  <c r="O108" i="2" s="1"/>
  <c r="O84" i="2"/>
  <c r="O110" i="2" s="1"/>
  <c r="Y87" i="2"/>
  <c r="Y113" i="2" s="1"/>
  <c r="O87" i="2"/>
  <c r="O113" i="2" s="1"/>
  <c r="E84" i="2"/>
  <c r="E110" i="2" s="1"/>
  <c r="M84" i="2"/>
  <c r="M110" i="2" s="1"/>
  <c r="B82" i="2"/>
  <c r="B108" i="2" s="1"/>
  <c r="B86" i="2"/>
  <c r="B112" i="2" s="1"/>
  <c r="B84" i="2"/>
  <c r="B110" i="2" s="1"/>
  <c r="N82" i="2"/>
  <c r="N108" i="2" s="1"/>
  <c r="N85" i="2"/>
  <c r="N111" i="2" s="1"/>
  <c r="F82" i="2"/>
  <c r="F108" i="2" s="1"/>
  <c r="F85" i="2"/>
  <c r="F111" i="2" s="1"/>
  <c r="F86" i="2"/>
  <c r="F112" i="2" s="1"/>
  <c r="Z82" i="2"/>
  <c r="Z108" i="2" s="1"/>
  <c r="Z87" i="2"/>
  <c r="Z113" i="2" s="1"/>
  <c r="Z86" i="2"/>
  <c r="Z112" i="2" s="1"/>
  <c r="Z85" i="2"/>
  <c r="Z111" i="2" s="1"/>
  <c r="Z83" i="2"/>
  <c r="Z109" i="2" s="1"/>
  <c r="U78" i="2"/>
  <c r="U104" i="2" s="1"/>
  <c r="M78" i="2"/>
  <c r="M104" i="2" s="1"/>
  <c r="E78" i="2"/>
  <c r="E104" i="2" s="1"/>
  <c r="O77" i="2"/>
  <c r="O103" i="2" s="1"/>
  <c r="AD77" i="2"/>
  <c r="AD103" i="2" s="1"/>
  <c r="B80" i="2"/>
  <c r="B106" i="2" s="1"/>
  <c r="R80" i="2"/>
  <c r="R106" i="2" s="1"/>
  <c r="J80" i="2"/>
  <c r="J106" i="2" s="1"/>
  <c r="K81" i="2"/>
  <c r="K107" i="2" s="1"/>
  <c r="C81" i="2"/>
  <c r="C107" i="2" s="1"/>
  <c r="Y81" i="2"/>
  <c r="Y107" i="2" s="1"/>
  <c r="P86" i="2"/>
  <c r="P112" i="2" s="1"/>
  <c r="W86" i="2"/>
  <c r="W112" i="2" s="1"/>
  <c r="L84" i="2"/>
  <c r="L110" i="2" s="1"/>
  <c r="V85" i="2"/>
  <c r="V111" i="2" s="1"/>
  <c r="U86" i="2"/>
  <c r="U112" i="2" s="1"/>
  <c r="Q85" i="2"/>
  <c r="Q111" i="2" s="1"/>
  <c r="F84" i="2"/>
  <c r="F110" i="2" s="1"/>
  <c r="N87" i="2"/>
  <c r="N113" i="2" s="1"/>
  <c r="AB84" i="2"/>
  <c r="AB110" i="2" s="1"/>
  <c r="W77" i="2"/>
  <c r="W103" i="2" s="1"/>
  <c r="U79" i="2"/>
  <c r="U105" i="2" s="1"/>
  <c r="L79" i="2"/>
  <c r="L105" i="2" s="1"/>
  <c r="D79" i="2"/>
  <c r="D105" i="2" s="1"/>
  <c r="Z79" i="2"/>
  <c r="Z105" i="2" s="1"/>
  <c r="Y80" i="2"/>
  <c r="Y106" i="2" s="1"/>
  <c r="R81" i="2"/>
  <c r="R107" i="2" s="1"/>
  <c r="X81" i="2"/>
  <c r="X107" i="2" s="1"/>
  <c r="P85" i="2"/>
  <c r="P111" i="2" s="1"/>
  <c r="AE86" i="2"/>
  <c r="AE112" i="2" s="1"/>
  <c r="K84" i="2"/>
  <c r="K110" i="2" s="1"/>
  <c r="W113" i="2"/>
  <c r="AD85" i="2"/>
  <c r="AD111" i="2" s="1"/>
  <c r="AC86" i="2"/>
  <c r="AC112" i="2" s="1"/>
  <c r="Q83" i="2"/>
  <c r="Q109" i="2" s="1"/>
  <c r="AB83" i="2"/>
  <c r="AB109" i="2" s="1"/>
  <c r="N83" i="2"/>
  <c r="N109" i="2" s="1"/>
  <c r="F83" i="2"/>
  <c r="F109" i="2" s="1"/>
  <c r="X77" i="2"/>
  <c r="X103" i="2" s="1"/>
  <c r="X86" i="2"/>
  <c r="X112" i="2" s="1"/>
  <c r="X84" i="2"/>
  <c r="X110" i="2" s="1"/>
  <c r="AA78" i="2"/>
  <c r="AA104" i="2" s="1"/>
  <c r="S78" i="2"/>
  <c r="S104" i="2" s="1"/>
  <c r="K78" i="2"/>
  <c r="K104" i="2" s="1"/>
  <c r="C78" i="2"/>
  <c r="C104" i="2" s="1"/>
  <c r="K77" i="2"/>
  <c r="K103" i="2" s="1"/>
  <c r="V77" i="2"/>
  <c r="V103" i="2" s="1"/>
  <c r="K79" i="2"/>
  <c r="K105" i="2" s="1"/>
  <c r="C79" i="2"/>
  <c r="C105" i="2" s="1"/>
  <c r="O79" i="2"/>
  <c r="O105" i="2" s="1"/>
  <c r="X80" i="2"/>
  <c r="X106" i="2" s="1"/>
  <c r="Q81" i="2"/>
  <c r="Q107" i="2" s="1"/>
  <c r="I81" i="2"/>
  <c r="I107" i="2" s="1"/>
  <c r="W81" i="2"/>
  <c r="W107" i="2" s="1"/>
  <c r="P82" i="2"/>
  <c r="P108" i="2" s="1"/>
  <c r="Q84" i="2"/>
  <c r="Q110" i="2" s="1"/>
  <c r="S85" i="2"/>
  <c r="S111" i="2" s="1"/>
  <c r="AE87" i="2"/>
  <c r="AE113" i="2" s="1"/>
  <c r="S84" i="2"/>
  <c r="S110" i="2" s="1"/>
  <c r="AE85" i="2"/>
  <c r="AE111" i="2" s="1"/>
  <c r="AC83" i="2"/>
  <c r="AC109" i="2" s="1"/>
  <c r="W85" i="2"/>
  <c r="W111" i="2" s="1"/>
  <c r="AA82" i="2"/>
  <c r="AA108" i="2" s="1"/>
  <c r="AA87" i="2"/>
  <c r="AA113" i="2" s="1"/>
  <c r="AA86" i="2"/>
  <c r="AA112" i="2" s="1"/>
  <c r="AA83" i="2"/>
  <c r="AA109" i="2" s="1"/>
  <c r="M82" i="2"/>
  <c r="M108" i="2" s="1"/>
  <c r="M83" i="2"/>
  <c r="M109" i="2" s="1"/>
  <c r="E82" i="2"/>
  <c r="E108" i="2" s="1"/>
  <c r="E83" i="2"/>
  <c r="E109" i="2" s="1"/>
  <c r="L82" i="2"/>
  <c r="L108" i="2" s="1"/>
  <c r="L86" i="2"/>
  <c r="L112" i="2" s="1"/>
  <c r="L85" i="2"/>
  <c r="L111" i="2" s="1"/>
  <c r="L83" i="2"/>
  <c r="L109" i="2" s="1"/>
  <c r="C82" i="2"/>
  <c r="C108" i="2" s="1"/>
  <c r="C86" i="2"/>
  <c r="C112" i="2" s="1"/>
  <c r="C85" i="2"/>
  <c r="C111" i="2" s="1"/>
  <c r="Z78" i="2"/>
  <c r="Z104" i="2" s="1"/>
  <c r="R78" i="2"/>
  <c r="R104" i="2" s="1"/>
  <c r="R77" i="2"/>
  <c r="R103" i="2" s="1"/>
  <c r="G80" i="2"/>
  <c r="G106" i="2" s="1"/>
  <c r="W80" i="2"/>
  <c r="W106" i="2" s="1"/>
  <c r="O80" i="2"/>
  <c r="O106" i="2" s="1"/>
  <c r="P81" i="2"/>
  <c r="P107" i="2" s="1"/>
  <c r="H81" i="2"/>
  <c r="H107" i="2" s="1"/>
  <c r="AD81" i="2"/>
  <c r="AD107" i="2" s="1"/>
  <c r="B87" i="2"/>
  <c r="B113" i="2" s="1"/>
  <c r="Q86" i="2"/>
  <c r="Q112" i="2" s="1"/>
  <c r="C83" i="2"/>
  <c r="C109" i="2" s="1"/>
  <c r="AA85" i="2"/>
  <c r="AA111" i="2" s="1"/>
  <c r="O86" i="2"/>
  <c r="O112" i="2" s="1"/>
  <c r="F87" i="2"/>
  <c r="F113" i="2" s="1"/>
  <c r="V113" i="2"/>
  <c r="O83" i="2"/>
  <c r="O109" i="2" s="1"/>
  <c r="H77" i="2"/>
  <c r="H103" i="2" s="1"/>
  <c r="H84" i="2"/>
  <c r="H110" i="2" s="1"/>
  <c r="G82" i="2"/>
  <c r="G108" i="2" s="1"/>
  <c r="G84" i="2"/>
  <c r="G110" i="2" s="1"/>
  <c r="G83" i="2"/>
  <c r="G109" i="2" s="1"/>
  <c r="H86" i="2"/>
  <c r="H112" i="2" s="1"/>
  <c r="U82" i="2"/>
  <c r="U108" i="2" s="1"/>
  <c r="U84" i="2"/>
  <c r="U110" i="2" s="1"/>
  <c r="U83" i="2"/>
  <c r="U109" i="2" s="1"/>
  <c r="Y77" i="2"/>
  <c r="Y103" i="2" s="1"/>
  <c r="Y86" i="2"/>
  <c r="Y112" i="2" s="1"/>
  <c r="Y85" i="2"/>
  <c r="Y111" i="2" s="1"/>
  <c r="T82" i="2"/>
  <c r="T108" i="2" s="1"/>
  <c r="T85" i="2"/>
  <c r="T111" i="2" s="1"/>
  <c r="T86" i="2"/>
  <c r="T112" i="2" s="1"/>
  <c r="T113" i="2"/>
  <c r="T83" i="2"/>
  <c r="T109" i="2" s="1"/>
  <c r="S82" i="2"/>
  <c r="S108" i="2" s="1"/>
  <c r="S113" i="2"/>
  <c r="S83" i="2"/>
  <c r="S109" i="2" s="1"/>
  <c r="W82" i="2"/>
  <c r="W108" i="2" s="1"/>
  <c r="W84" i="2"/>
  <c r="W110" i="2" s="1"/>
  <c r="AD80" i="2"/>
  <c r="AD106" i="2" s="1"/>
  <c r="AD84" i="2"/>
  <c r="AD110" i="2" s="1"/>
  <c r="AB80" i="2"/>
  <c r="AB106" i="2" s="1"/>
  <c r="O81" i="2"/>
  <c r="O107" i="2" s="1"/>
  <c r="G81" i="2"/>
  <c r="G107" i="2" s="1"/>
  <c r="E85" i="2"/>
  <c r="E111" i="2" s="1"/>
  <c r="P83" i="2"/>
  <c r="P109" i="2" s="1"/>
  <c r="E86" i="2"/>
  <c r="E112" i="2" s="1"/>
  <c r="B85" i="2"/>
  <c r="B111" i="2" s="1"/>
  <c r="X85" i="2"/>
  <c r="X111" i="2" s="1"/>
  <c r="AD87" i="2"/>
  <c r="AD113" i="2" s="1"/>
  <c r="P79" i="2"/>
  <c r="P105" i="2" s="1"/>
  <c r="D82" i="2"/>
  <c r="D108" i="2" s="1"/>
  <c r="D85" i="2"/>
  <c r="D111" i="2" s="1"/>
  <c r="D83" i="2"/>
  <c r="D109" i="2" s="1"/>
  <c r="D86" i="2"/>
  <c r="D112" i="2" s="1"/>
  <c r="K82" i="2"/>
  <c r="K108" i="2" s="1"/>
  <c r="K86" i="2"/>
  <c r="K112" i="2" s="1"/>
  <c r="K85" i="2"/>
  <c r="K111" i="2" s="1"/>
  <c r="R82" i="2"/>
  <c r="R108" i="2" s="1"/>
  <c r="R113" i="2"/>
  <c r="R86" i="2"/>
  <c r="R112" i="2" s="1"/>
  <c r="R83" i="2"/>
  <c r="R109" i="2" s="1"/>
  <c r="R85" i="2"/>
  <c r="R111" i="2" s="1"/>
  <c r="J82" i="2"/>
  <c r="J108" i="2" s="1"/>
  <c r="J86" i="2"/>
  <c r="J112" i="2" s="1"/>
  <c r="J84" i="2"/>
  <c r="J110" i="2" s="1"/>
  <c r="V82" i="2"/>
  <c r="V108" i="2" s="1"/>
  <c r="V84" i="2"/>
  <c r="V110" i="2" s="1"/>
  <c r="R79" i="2"/>
  <c r="R105" i="2" s="1"/>
  <c r="I77" i="2"/>
  <c r="I103" i="2" s="1"/>
  <c r="I84" i="2"/>
  <c r="I110" i="2" s="1"/>
  <c r="AC82" i="2"/>
  <c r="AC108" i="2" s="1"/>
  <c r="AC87" i="2"/>
  <c r="AC113" i="2" s="1"/>
  <c r="AC84" i="2"/>
  <c r="AC110" i="2" s="1"/>
  <c r="AE80" i="2"/>
  <c r="AE106" i="2" s="1"/>
  <c r="AE84" i="2"/>
  <c r="AE110" i="2" s="1"/>
  <c r="X78" i="2"/>
  <c r="X104" i="2" s="1"/>
  <c r="P78" i="2"/>
  <c r="P104" i="2" s="1"/>
  <c r="H78" i="2"/>
  <c r="H104" i="2" s="1"/>
  <c r="Y79" i="2"/>
  <c r="Y105" i="2" s="1"/>
  <c r="Q79" i="2"/>
  <c r="Q105" i="2" s="1"/>
  <c r="H79" i="2"/>
  <c r="H105" i="2" s="1"/>
  <c r="AD79" i="2"/>
  <c r="AD105" i="2" s="1"/>
  <c r="E80" i="2"/>
  <c r="E106" i="2" s="1"/>
  <c r="U80" i="2"/>
  <c r="U106" i="2" s="1"/>
  <c r="M80" i="2"/>
  <c r="M106" i="2" s="1"/>
  <c r="N81" i="2"/>
  <c r="N107" i="2" s="1"/>
  <c r="F81" i="2"/>
  <c r="F107" i="2" s="1"/>
  <c r="AB81" i="2"/>
  <c r="AB107" i="2" s="1"/>
  <c r="T81" i="2"/>
  <c r="T107" i="2" s="1"/>
  <c r="V86" i="2"/>
  <c r="V112" i="2" s="1"/>
  <c r="I83" i="2"/>
  <c r="I109" i="2" s="1"/>
  <c r="X83" i="2"/>
  <c r="X109" i="2" s="1"/>
  <c r="D87" i="2"/>
  <c r="D113" i="2" s="1"/>
  <c r="M85" i="2"/>
  <c r="M111" i="2" s="1"/>
  <c r="G85" i="2"/>
  <c r="G111" i="2" s="1"/>
  <c r="I87" i="2"/>
  <c r="I113" i="2" s="1"/>
  <c r="H83" i="2"/>
  <c r="H109" i="2" s="1"/>
  <c r="M86" i="2"/>
  <c r="M112" i="2" s="1"/>
  <c r="H87" i="2"/>
  <c r="H113" i="2" s="1"/>
  <c r="N86" i="2"/>
  <c r="N112" i="2" s="1"/>
  <c r="J85" i="2"/>
  <c r="J111" i="2" s="1"/>
  <c r="N80" i="2"/>
  <c r="N106" i="2" s="1"/>
  <c r="AD82" i="2"/>
  <c r="AD108" i="2" s="1"/>
  <c r="N78" i="2"/>
  <c r="N104" i="2" s="1"/>
  <c r="AA79" i="2"/>
  <c r="AA105" i="2" s="1"/>
  <c r="S79" i="2"/>
  <c r="S105" i="2" s="1"/>
  <c r="L81" i="2"/>
  <c r="L107" i="2" s="1"/>
  <c r="D81" i="2"/>
  <c r="D107" i="2" s="1"/>
  <c r="U81" i="2"/>
  <c r="U107" i="2" s="1"/>
  <c r="H82" i="2"/>
  <c r="H108" i="2" s="1"/>
  <c r="F77" i="2"/>
  <c r="F103" i="2" s="1"/>
  <c r="E77" i="2"/>
  <c r="E103" i="2" s="1"/>
  <c r="Q78" i="2"/>
  <c r="Q104" i="2" s="1"/>
  <c r="AC77" i="2"/>
  <c r="AC103" i="2" s="1"/>
  <c r="U77" i="2"/>
  <c r="U103" i="2" s="1"/>
  <c r="M79" i="2"/>
  <c r="M105" i="2" s="1"/>
  <c r="E79" i="2"/>
  <c r="E105" i="2" s="1"/>
  <c r="AE81" i="2"/>
  <c r="AE107" i="2" s="1"/>
  <c r="Y82" i="2"/>
  <c r="Y108" i="2" s="1"/>
  <c r="AE82" i="2"/>
  <c r="AE108" i="2" s="1"/>
  <c r="F78" i="2"/>
  <c r="F104" i="2" s="1"/>
  <c r="Q77" i="2"/>
  <c r="Q103" i="2" s="1"/>
  <c r="AB77" i="2"/>
  <c r="AB103" i="2" s="1"/>
  <c r="T77" i="2"/>
  <c r="T103" i="2" s="1"/>
  <c r="S80" i="2"/>
  <c r="S106" i="2" s="1"/>
  <c r="K80" i="2"/>
  <c r="K106" i="2" s="1"/>
  <c r="C80" i="2"/>
  <c r="C106" i="2" s="1"/>
  <c r="J81" i="2"/>
  <c r="J107" i="2" s="1"/>
  <c r="B81" i="2"/>
  <c r="B107" i="2" s="1"/>
  <c r="I82" i="2"/>
  <c r="I108" i="2" s="1"/>
  <c r="F80" i="2"/>
  <c r="F106" i="2" s="1"/>
  <c r="D77" i="2"/>
  <c r="D103" i="2" s="1"/>
  <c r="B77" i="2"/>
  <c r="B103" i="2" s="1"/>
  <c r="J77" i="2"/>
  <c r="J103" i="2" s="1"/>
  <c r="P77" i="2"/>
  <c r="P103" i="2" s="1"/>
  <c r="AA77" i="2"/>
  <c r="AA103" i="2" s="1"/>
  <c r="S77" i="2"/>
  <c r="S103" i="2" s="1"/>
  <c r="Q82" i="2"/>
  <c r="Q108" i="2" s="1"/>
  <c r="X82" i="2"/>
  <c r="X108" i="2" s="1"/>
  <c r="AC78" i="2"/>
  <c r="AC104" i="2" s="1"/>
  <c r="B78" i="2"/>
  <c r="B104" i="2" s="1"/>
  <c r="B79" i="2"/>
  <c r="B105" i="2" s="1"/>
  <c r="C77" i="2"/>
  <c r="C103" i="2" s="1"/>
  <c r="V79" i="2"/>
  <c r="V105" i="2" s="1"/>
  <c r="H80" i="2"/>
  <c r="H106" i="2" s="1"/>
  <c r="AA81" i="2"/>
  <c r="AA107" i="2" s="1"/>
  <c r="Z77" i="2"/>
  <c r="Z103" i="2" s="1"/>
  <c r="I80" i="2"/>
  <c r="I106" i="2" s="1"/>
  <c r="N77" i="2"/>
  <c r="N103" i="2" s="1"/>
  <c r="M77" i="2"/>
  <c r="M103" i="2" s="1"/>
  <c r="Z81" i="2"/>
  <c r="Z107" i="2" s="1"/>
  <c r="AC79" i="2"/>
  <c r="AC105" i="2" s="1"/>
  <c r="AC80" i="2"/>
  <c r="AC106" i="2" s="1"/>
  <c r="AC81" i="2"/>
  <c r="AC107" i="2" s="1"/>
</calcChain>
</file>

<file path=xl/sharedStrings.xml><?xml version="1.0" encoding="utf-8"?>
<sst xmlns="http://schemas.openxmlformats.org/spreadsheetml/2006/main" count="238" uniqueCount="47">
  <si>
    <t>NSG</t>
  </si>
  <si>
    <t xml:space="preserve">We started Alectinib treatment </t>
  </si>
  <si>
    <t>Left</t>
  </si>
  <si>
    <t>Right</t>
  </si>
  <si>
    <t>07 29 2021</t>
  </si>
  <si>
    <t xml:space="preserve">Animals were injected with nuclear GFP H3122 cells - 700,000 cells/ site </t>
  </si>
  <si>
    <t>08 17 2021</t>
  </si>
  <si>
    <t>NSG_Female mice</t>
  </si>
  <si>
    <t>Cage #</t>
  </si>
  <si>
    <t>25 mg/kg / no treatment (4 mice)</t>
  </si>
  <si>
    <t>25 mg/kg (continuous, 4 mice)</t>
  </si>
  <si>
    <t>Alec 12.5 mg/kg (continuous, 3 mice)</t>
  </si>
  <si>
    <t>Cage 1_248_Female</t>
  </si>
  <si>
    <t>Cage 2_263_Female</t>
  </si>
  <si>
    <t>Cage 3_250_Female</t>
  </si>
  <si>
    <t>Tumor measurement were slightly less on previous round of measurement</t>
  </si>
  <si>
    <t>50 mg/kg / no treatment (4 mice)</t>
  </si>
  <si>
    <t>08 23 2021, week 1</t>
  </si>
  <si>
    <t xml:space="preserve">No measurement --&gt; hence kept minimal from previous round of measurement </t>
  </si>
  <si>
    <t>substracting skin measurement</t>
  </si>
  <si>
    <t>Cage 4_244_Female</t>
  </si>
  <si>
    <t xml:space="preserve">Normalized </t>
  </si>
  <si>
    <t>Cubed * 100</t>
  </si>
  <si>
    <t>08 30 2021, week 2</t>
  </si>
  <si>
    <t>09 06 2021, week 3</t>
  </si>
  <si>
    <t>Post Rx break measurement for 2 groups on cycling treatment</t>
  </si>
  <si>
    <t>09 13 2021, week 4</t>
  </si>
  <si>
    <t>09 19 2021, week 5</t>
  </si>
  <si>
    <t>09 21 2021, week 5.2</t>
  </si>
  <si>
    <t>09 27 2021, week 6</t>
  </si>
  <si>
    <t>10 04 2021, week7</t>
  </si>
  <si>
    <t>10 04 2021, week 7</t>
  </si>
  <si>
    <t>10 11 2021, week 8</t>
  </si>
  <si>
    <t>10 11 2021, week8</t>
  </si>
  <si>
    <t xml:space="preserve">10 11 2021, week8 </t>
  </si>
  <si>
    <t>10 19 2021, week 9</t>
  </si>
  <si>
    <t>10 26 2021, week10</t>
  </si>
  <si>
    <t xml:space="preserve">10 31 2021, week 11 </t>
  </si>
  <si>
    <t>11 08 2021, week 12</t>
  </si>
  <si>
    <t>11 15 2021, week13</t>
  </si>
  <si>
    <t>11 23 2021, week 14</t>
  </si>
  <si>
    <t>11 29 2021, week 15</t>
  </si>
  <si>
    <t>Sacked on 11/30/2021</t>
  </si>
  <si>
    <t>Sacked on 12/01/2021 or 12/06/2021</t>
  </si>
  <si>
    <t>Sacked on 12/1/2021</t>
  </si>
  <si>
    <t>AC18 was "4"</t>
  </si>
  <si>
    <t>Dose structure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</si>
</sst>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2"/>
      <color theme="1"/>
      <name val="Calibri"/>
      <family val="2"/>
      <scheme val="minor"/>
    </font>
    <font>
      <sz val="14"/>
      <name val="Arial"/>
      <family val="2"/>
    </font>
    <font>
      <sz val="14"/>
      <color theme="1"/>
      <name val="Arial"/>
      <family val="2"/>
    </font>
    <font>
      <b/>
      <sz val="14"/>
      <color rgb="FFFF0000"/>
      <name val="Arial"/>
      <family val="2"/>
    </font>
    <font>
      <b/>
      <sz val="14"/>
      <color theme="1"/>
      <name val="Arial"/>
      <family val="2"/>
    </font>
    <font>
      <sz val="14"/>
      <color rgb="FFFF0000"/>
      <name val="Arial"/>
      <family val="2"/>
    </font>
    <font>
      <b/>
      <sz val="14"/>
      <color rgb="FF1D1C1D"/>
      <name val="Arial"/>
      <family val="2"/>
    </font>
    <font>
      <b/>
      <sz val="14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rgb="FFFF0000"/>
      <name val="Calibri"/>
      <family val="2"/>
      <scheme val="minor"/>
    </font>
    <font>
      <sz val="14"/>
      <color rgb="FFFF0000"/>
      <name val="Arial "/>
    </font>
    <font>
      <b/>
      <sz val="20"/>
      <color rgb="FFFF0000"/>
      <name val="Arial"/>
      <family val="2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C00"/>
        <bgColor indexed="64"/>
      </patternFill>
    </fill>
    <fill>
      <patternFill patternType="solid">
        <fgColor rgb="FFFFFF00"/>
        <bgColor indexed="64"/>
      </patternFill>
    </fill>
  </fills>
  <borders count="52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1"/>
      </bottom>
      <diagonal/>
    </border>
    <border>
      <left/>
      <right style="thin">
        <color theme="1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/>
      <top style="medium">
        <color indexed="64"/>
      </top>
      <bottom/>
      <diagonal/>
    </border>
    <border>
      <left style="thin">
        <color indexed="64"/>
      </left>
      <right style="thin">
        <color theme="1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theme="1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indexed="64"/>
      </bottom>
      <diagonal/>
    </border>
    <border>
      <left style="thin">
        <color theme="1"/>
      </left>
      <right style="medium">
        <color indexed="64"/>
      </right>
      <top/>
      <bottom style="thin">
        <color indexed="64"/>
      </bottom>
      <diagonal/>
    </border>
    <border>
      <left style="thin">
        <color theme="1"/>
      </left>
      <right style="medium">
        <color indexed="64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theme="1"/>
      </right>
      <top/>
      <bottom style="medium">
        <color indexed="64"/>
      </bottom>
      <diagonal/>
    </border>
    <border>
      <left style="thin">
        <color theme="1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theme="1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71">
    <xf numFmtId="0" fontId="0" fillId="0" borderId="0" xfId="0"/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2" fillId="0" borderId="0" xfId="0" applyFont="1"/>
    <xf numFmtId="0" fontId="2" fillId="0" borderId="6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15" xfId="0" applyFont="1" applyFill="1" applyBorder="1" applyAlignment="1">
      <alignment horizontal="center" vertical="center"/>
    </xf>
    <xf numFmtId="0" fontId="4" fillId="3" borderId="26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horizontal="center" vertical="center"/>
    </xf>
    <xf numFmtId="0" fontId="8" fillId="4" borderId="14" xfId="0" applyFont="1" applyFill="1" applyBorder="1" applyAlignment="1">
      <alignment horizontal="center" vertical="center"/>
    </xf>
    <xf numFmtId="0" fontId="8" fillId="4" borderId="15" xfId="0" applyFont="1" applyFill="1" applyBorder="1" applyAlignment="1">
      <alignment horizontal="center" vertical="center"/>
    </xf>
    <xf numFmtId="0" fontId="8" fillId="4" borderId="16" xfId="0" applyFont="1" applyFill="1" applyBorder="1" applyAlignment="1">
      <alignment horizontal="center" vertical="center"/>
    </xf>
    <xf numFmtId="0" fontId="8" fillId="2" borderId="15" xfId="0" applyFont="1" applyFill="1" applyBorder="1" applyAlignment="1">
      <alignment horizontal="center" vertical="center"/>
    </xf>
    <xf numFmtId="0" fontId="8" fillId="2" borderId="30" xfId="0" applyFont="1" applyFill="1" applyBorder="1" applyAlignment="1">
      <alignment horizontal="center" vertical="center"/>
    </xf>
    <xf numFmtId="0" fontId="8" fillId="2" borderId="16" xfId="0" applyFont="1" applyFill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9" fillId="0" borderId="33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8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0" borderId="34" xfId="0" applyFont="1" applyBorder="1" applyAlignment="1">
      <alignment horizontal="center" vertical="center"/>
    </xf>
    <xf numFmtId="0" fontId="5" fillId="7" borderId="31" xfId="0" applyFont="1" applyFill="1" applyBorder="1" applyAlignment="1">
      <alignment horizontal="center" vertical="center"/>
    </xf>
    <xf numFmtId="0" fontId="9" fillId="7" borderId="35" xfId="0" applyFont="1" applyFill="1" applyBorder="1" applyAlignment="1">
      <alignment horizontal="center" vertical="center"/>
    </xf>
    <xf numFmtId="0" fontId="2" fillId="7" borderId="0" xfId="0" applyFont="1" applyFill="1"/>
    <xf numFmtId="0" fontId="9" fillId="7" borderId="17" xfId="0" applyFont="1" applyFill="1" applyBorder="1" applyAlignment="1">
      <alignment horizontal="center" vertical="center"/>
    </xf>
    <xf numFmtId="0" fontId="2" fillId="8" borderId="0" xfId="0" applyFont="1" applyFill="1"/>
    <xf numFmtId="0" fontId="2" fillId="5" borderId="0" xfId="0" applyFont="1" applyFill="1"/>
    <xf numFmtId="0" fontId="5" fillId="0" borderId="0" xfId="0" applyFont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7" fillId="5" borderId="30" xfId="0" applyFont="1" applyFill="1" applyBorder="1" applyAlignment="1">
      <alignment horizontal="center" vertical="center"/>
    </xf>
    <xf numFmtId="0" fontId="7" fillId="5" borderId="15" xfId="0" applyFont="1" applyFill="1" applyBorder="1" applyAlignment="1">
      <alignment horizontal="center" vertical="center"/>
    </xf>
    <xf numFmtId="0" fontId="7" fillId="6" borderId="15" xfId="0" applyFont="1" applyFill="1" applyBorder="1" applyAlignment="1">
      <alignment horizontal="center" vertical="center"/>
    </xf>
    <xf numFmtId="0" fontId="7" fillId="5" borderId="21" xfId="0" applyFont="1" applyFill="1" applyBorder="1" applyAlignment="1">
      <alignment horizontal="center" vertical="center"/>
    </xf>
    <xf numFmtId="0" fontId="7" fillId="5" borderId="23" xfId="0" applyFont="1" applyFill="1" applyBorder="1" applyAlignment="1">
      <alignment horizontal="center" vertical="center"/>
    </xf>
    <xf numFmtId="0" fontId="4" fillId="3" borderId="38" xfId="0" applyFont="1" applyFill="1" applyBorder="1" applyAlignment="1">
      <alignment horizontal="center" vertical="center"/>
    </xf>
    <xf numFmtId="0" fontId="8" fillId="4" borderId="26" xfId="0" applyFont="1" applyFill="1" applyBorder="1" applyAlignment="1">
      <alignment horizontal="center" vertical="center"/>
    </xf>
    <xf numFmtId="0" fontId="8" fillId="4" borderId="27" xfId="0" applyFont="1" applyFill="1" applyBorder="1" applyAlignment="1">
      <alignment horizontal="center" vertical="center"/>
    </xf>
    <xf numFmtId="0" fontId="8" fillId="2" borderId="26" xfId="0" applyFont="1" applyFill="1" applyBorder="1" applyAlignment="1">
      <alignment horizontal="center" vertical="center"/>
    </xf>
    <xf numFmtId="0" fontId="8" fillId="2" borderId="27" xfId="0" applyFont="1" applyFill="1" applyBorder="1" applyAlignment="1">
      <alignment horizontal="center" vertical="center"/>
    </xf>
    <xf numFmtId="0" fontId="8" fillId="5" borderId="26" xfId="0" applyFont="1" applyFill="1" applyBorder="1" applyAlignment="1">
      <alignment horizontal="center" vertical="center"/>
    </xf>
    <xf numFmtId="0" fontId="8" fillId="6" borderId="26" xfId="0" applyFont="1" applyFill="1" applyBorder="1" applyAlignment="1">
      <alignment horizontal="center" vertical="center"/>
    </xf>
    <xf numFmtId="0" fontId="8" fillId="5" borderId="27" xfId="0" applyFont="1" applyFill="1" applyBorder="1" applyAlignment="1">
      <alignment horizontal="center" vertical="center"/>
    </xf>
    <xf numFmtId="0" fontId="4" fillId="3" borderId="42" xfId="0" applyFont="1" applyFill="1" applyBorder="1" applyAlignment="1">
      <alignment horizontal="center" vertical="center"/>
    </xf>
    <xf numFmtId="0" fontId="4" fillId="3" borderId="43" xfId="0" applyFont="1" applyFill="1" applyBorder="1" applyAlignment="1">
      <alignment horizontal="center" vertical="center"/>
    </xf>
    <xf numFmtId="0" fontId="4" fillId="3" borderId="44" xfId="0" applyFont="1" applyFill="1" applyBorder="1" applyAlignment="1">
      <alignment horizontal="center" vertical="center"/>
    </xf>
    <xf numFmtId="0" fontId="4" fillId="3" borderId="45" xfId="0" applyFont="1" applyFill="1" applyBorder="1" applyAlignment="1">
      <alignment horizontal="center" vertical="center"/>
    </xf>
    <xf numFmtId="0" fontId="8" fillId="4" borderId="46" xfId="0" applyFont="1" applyFill="1" applyBorder="1" applyAlignment="1">
      <alignment horizontal="center" vertical="center"/>
    </xf>
    <xf numFmtId="0" fontId="8" fillId="4" borderId="43" xfId="0" applyFont="1" applyFill="1" applyBorder="1" applyAlignment="1">
      <alignment horizontal="center" vertical="center"/>
    </xf>
    <xf numFmtId="0" fontId="8" fillId="4" borderId="47" xfId="0" applyFont="1" applyFill="1" applyBorder="1" applyAlignment="1">
      <alignment horizontal="center" vertical="center"/>
    </xf>
    <xf numFmtId="0" fontId="8" fillId="2" borderId="46" xfId="0" applyFont="1" applyFill="1" applyBorder="1" applyAlignment="1">
      <alignment horizontal="center" vertical="center"/>
    </xf>
    <xf numFmtId="0" fontId="8" fillId="2" borderId="43" xfId="0" applyFont="1" applyFill="1" applyBorder="1" applyAlignment="1">
      <alignment horizontal="center" vertical="center"/>
    </xf>
    <xf numFmtId="0" fontId="8" fillId="2" borderId="47" xfId="0" applyFont="1" applyFill="1" applyBorder="1" applyAlignment="1">
      <alignment horizontal="center" vertical="center"/>
    </xf>
    <xf numFmtId="0" fontId="8" fillId="5" borderId="46" xfId="0" applyFont="1" applyFill="1" applyBorder="1" applyAlignment="1">
      <alignment horizontal="center" vertical="center"/>
    </xf>
    <xf numFmtId="0" fontId="8" fillId="5" borderId="43" xfId="0" applyFont="1" applyFill="1" applyBorder="1" applyAlignment="1">
      <alignment horizontal="center" vertical="center"/>
    </xf>
    <xf numFmtId="0" fontId="8" fillId="6" borderId="43" xfId="0" applyFont="1" applyFill="1" applyBorder="1" applyAlignment="1">
      <alignment horizontal="center" vertical="center"/>
    </xf>
    <xf numFmtId="0" fontId="8" fillId="5" borderId="48" xfId="0" applyFont="1" applyFill="1" applyBorder="1" applyAlignment="1">
      <alignment horizontal="center" vertical="center"/>
    </xf>
    <xf numFmtId="0" fontId="8" fillId="5" borderId="47" xfId="0" applyFont="1" applyFill="1" applyBorder="1" applyAlignment="1">
      <alignment horizontal="center" vertical="center"/>
    </xf>
    <xf numFmtId="2" fontId="10" fillId="0" borderId="0" xfId="0" applyNumberFormat="1" applyFont="1" applyAlignment="1">
      <alignment horizontal="center" vertical="center"/>
    </xf>
    <xf numFmtId="2" fontId="10" fillId="0" borderId="2" xfId="0" applyNumberFormat="1" applyFont="1" applyBorder="1" applyAlignment="1">
      <alignment horizontal="center" vertical="center"/>
    </xf>
    <xf numFmtId="2" fontId="10" fillId="0" borderId="3" xfId="0" applyNumberFormat="1" applyFont="1" applyBorder="1" applyAlignment="1">
      <alignment horizontal="center" vertical="center"/>
    </xf>
    <xf numFmtId="0" fontId="8" fillId="4" borderId="42" xfId="0" applyFont="1" applyFill="1" applyBorder="1" applyAlignment="1">
      <alignment horizontal="center" vertical="center"/>
    </xf>
    <xf numFmtId="0" fontId="8" fillId="2" borderId="42" xfId="0" applyFont="1" applyFill="1" applyBorder="1" applyAlignment="1">
      <alignment horizontal="center" vertical="center"/>
    </xf>
    <xf numFmtId="0" fontId="8" fillId="5" borderId="42" xfId="0" applyFont="1" applyFill="1" applyBorder="1" applyAlignment="1">
      <alignment horizontal="center" vertical="center"/>
    </xf>
    <xf numFmtId="0" fontId="11" fillId="0" borderId="0" xfId="0" applyFont="1"/>
    <xf numFmtId="0" fontId="5" fillId="0" borderId="0" xfId="0" applyFont="1"/>
    <xf numFmtId="0" fontId="5" fillId="0" borderId="2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8" fillId="4" borderId="38" xfId="0" applyFont="1" applyFill="1" applyBorder="1" applyAlignment="1">
      <alignment horizontal="center" vertical="center"/>
    </xf>
    <xf numFmtId="0" fontId="8" fillId="2" borderId="38" xfId="0" applyFont="1" applyFill="1" applyBorder="1" applyAlignment="1">
      <alignment horizontal="center" vertical="center"/>
    </xf>
    <xf numFmtId="0" fontId="8" fillId="5" borderId="38" xfId="0" applyFont="1" applyFill="1" applyBorder="1" applyAlignment="1">
      <alignment horizontal="center" vertical="center"/>
    </xf>
    <xf numFmtId="0" fontId="5" fillId="9" borderId="2" xfId="0" applyFont="1" applyFill="1" applyBorder="1" applyAlignment="1">
      <alignment horizontal="center" vertical="center"/>
    </xf>
    <xf numFmtId="0" fontId="5" fillId="9" borderId="0" xfId="0" applyFont="1" applyFill="1" applyAlignment="1">
      <alignment horizontal="center" vertical="center"/>
    </xf>
    <xf numFmtId="0" fontId="7" fillId="4" borderId="12" xfId="0" applyFont="1" applyFill="1" applyBorder="1" applyAlignment="1">
      <alignment horizontal="center" vertical="center"/>
    </xf>
    <xf numFmtId="0" fontId="7" fillId="4" borderId="13" xfId="0" applyFont="1" applyFill="1" applyBorder="1" applyAlignment="1">
      <alignment horizontal="center" vertical="center"/>
    </xf>
    <xf numFmtId="0" fontId="7" fillId="4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3" borderId="24" xfId="0" applyFont="1" applyFill="1" applyBorder="1" applyAlignment="1">
      <alignment horizontal="center" vertical="center"/>
    </xf>
    <xf numFmtId="0" fontId="3" fillId="3" borderId="25" xfId="0" applyFont="1" applyFill="1" applyBorder="1" applyAlignment="1">
      <alignment horizontal="center" vertical="center"/>
    </xf>
    <xf numFmtId="0" fontId="7" fillId="4" borderId="10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6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7" fillId="5" borderId="20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7" fillId="2" borderId="29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5" borderId="29" xfId="0" applyFont="1" applyFill="1" applyBorder="1" applyAlignment="1">
      <alignment horizontal="center" vertical="center"/>
    </xf>
    <xf numFmtId="0" fontId="7" fillId="5" borderId="11" xfId="0" applyFont="1" applyFill="1" applyBorder="1" applyAlignment="1">
      <alignment horizontal="center" vertical="center"/>
    </xf>
    <xf numFmtId="0" fontId="7" fillId="6" borderId="12" xfId="0" applyFont="1" applyFill="1" applyBorder="1" applyAlignment="1">
      <alignment horizontal="center" vertical="center"/>
    </xf>
    <xf numFmtId="0" fontId="7" fillId="6" borderId="11" xfId="0" applyFont="1" applyFill="1" applyBorder="1" applyAlignment="1">
      <alignment horizontal="center" vertical="center"/>
    </xf>
    <xf numFmtId="0" fontId="7" fillId="5" borderId="12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4" fillId="0" borderId="49" xfId="0" applyFont="1" applyBorder="1" applyAlignment="1">
      <alignment horizontal="center"/>
    </xf>
    <xf numFmtId="0" fontId="4" fillId="0" borderId="50" xfId="0" applyFont="1" applyBorder="1" applyAlignment="1">
      <alignment horizontal="center"/>
    </xf>
    <xf numFmtId="0" fontId="4" fillId="0" borderId="51" xfId="0" applyFont="1" applyBorder="1" applyAlignment="1">
      <alignment horizontal="center"/>
    </xf>
    <xf numFmtId="0" fontId="4" fillId="0" borderId="49" xfId="0" applyFont="1" applyBorder="1" applyAlignment="1">
      <alignment horizontal="center" vertical="center"/>
    </xf>
    <xf numFmtId="0" fontId="4" fillId="0" borderId="50" xfId="0" applyFont="1" applyBorder="1" applyAlignment="1">
      <alignment horizontal="center" vertical="center"/>
    </xf>
    <xf numFmtId="0" fontId="4" fillId="0" borderId="51" xfId="0" applyFont="1" applyBorder="1" applyAlignment="1">
      <alignment horizontal="center" vertical="center"/>
    </xf>
    <xf numFmtId="0" fontId="6" fillId="0" borderId="49" xfId="0" applyFont="1" applyBorder="1" applyAlignment="1">
      <alignment horizontal="center"/>
    </xf>
    <xf numFmtId="0" fontId="6" fillId="0" borderId="50" xfId="0" applyFont="1" applyBorder="1" applyAlignment="1">
      <alignment horizontal="center"/>
    </xf>
    <xf numFmtId="0" fontId="6" fillId="0" borderId="51" xfId="0" applyFont="1" applyBorder="1" applyAlignment="1">
      <alignment horizontal="center"/>
    </xf>
    <xf numFmtId="0" fontId="3" fillId="3" borderId="31" xfId="0" applyFont="1" applyFill="1" applyBorder="1" applyAlignment="1">
      <alignment horizontal="center" vertical="center"/>
    </xf>
    <xf numFmtId="0" fontId="7" fillId="4" borderId="31" xfId="0" applyFont="1" applyFill="1" applyBorder="1" applyAlignment="1">
      <alignment horizontal="center" vertical="center"/>
    </xf>
    <xf numFmtId="0" fontId="7" fillId="4" borderId="24" xfId="0" applyFont="1" applyFill="1" applyBorder="1" applyAlignment="1">
      <alignment horizontal="center" vertical="center"/>
    </xf>
    <xf numFmtId="0" fontId="7" fillId="4" borderId="25" xfId="0" applyFont="1" applyFill="1" applyBorder="1" applyAlignment="1">
      <alignment horizontal="center" vertical="center"/>
    </xf>
    <xf numFmtId="0" fontId="7" fillId="2" borderId="31" xfId="0" applyFont="1" applyFill="1" applyBorder="1" applyAlignment="1">
      <alignment horizontal="center" vertical="center"/>
    </xf>
    <xf numFmtId="0" fontId="7" fillId="2" borderId="24" xfId="0" applyFont="1" applyFill="1" applyBorder="1" applyAlignment="1">
      <alignment horizontal="center" vertical="center"/>
    </xf>
    <xf numFmtId="0" fontId="7" fillId="2" borderId="25" xfId="0" applyFont="1" applyFill="1" applyBorder="1" applyAlignment="1">
      <alignment horizontal="center" vertical="center"/>
    </xf>
    <xf numFmtId="0" fontId="7" fillId="5" borderId="31" xfId="0" applyFont="1" applyFill="1" applyBorder="1" applyAlignment="1">
      <alignment horizontal="center" vertical="center"/>
    </xf>
    <xf numFmtId="0" fontId="7" fillId="5" borderId="24" xfId="0" applyFont="1" applyFill="1" applyBorder="1" applyAlignment="1">
      <alignment horizontal="center" vertical="center"/>
    </xf>
    <xf numFmtId="0" fontId="7" fillId="6" borderId="24" xfId="0" applyFont="1" applyFill="1" applyBorder="1" applyAlignment="1">
      <alignment horizontal="center" vertical="center"/>
    </xf>
    <xf numFmtId="0" fontId="7" fillId="5" borderId="25" xfId="0" applyFont="1" applyFill="1" applyBorder="1" applyAlignment="1">
      <alignment horizontal="center" vertical="center"/>
    </xf>
    <xf numFmtId="0" fontId="4" fillId="0" borderId="40" xfId="0" applyFont="1" applyBorder="1" applyAlignment="1">
      <alignment horizontal="center"/>
    </xf>
    <xf numFmtId="0" fontId="4" fillId="0" borderId="36" xfId="0" applyFont="1" applyBorder="1" applyAlignment="1">
      <alignment horizontal="center"/>
    </xf>
    <xf numFmtId="0" fontId="4" fillId="0" borderId="37" xfId="0" applyFont="1" applyBorder="1" applyAlignment="1">
      <alignment horizontal="center"/>
    </xf>
    <xf numFmtId="0" fontId="4" fillId="0" borderId="41" xfId="0" applyFont="1" applyBorder="1" applyAlignment="1">
      <alignment horizontal="center"/>
    </xf>
    <xf numFmtId="0" fontId="4" fillId="0" borderId="41" xfId="0" applyFont="1" applyBorder="1" applyAlignment="1">
      <alignment horizontal="center" vertical="center"/>
    </xf>
    <xf numFmtId="0" fontId="4" fillId="0" borderId="3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6" fillId="0" borderId="41" xfId="0" applyFont="1" applyBorder="1" applyAlignment="1">
      <alignment horizontal="center"/>
    </xf>
    <xf numFmtId="0" fontId="6" fillId="0" borderId="36" xfId="0" applyFont="1" applyBorder="1" applyAlignment="1">
      <alignment horizontal="center"/>
    </xf>
    <xf numFmtId="0" fontId="6" fillId="0" borderId="37" xfId="0" applyFont="1" applyBorder="1" applyAlignment="1">
      <alignment horizontal="center"/>
    </xf>
    <xf numFmtId="0" fontId="7" fillId="4" borderId="39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7" fillId="5" borderId="39" xfId="0" applyFont="1" applyFill="1" applyBorder="1" applyAlignment="1">
      <alignment horizontal="center" vertical="center"/>
    </xf>
    <xf numFmtId="0" fontId="7" fillId="2" borderId="39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6" fillId="0" borderId="40" xfId="0" applyFont="1" applyBorder="1" applyAlignment="1">
      <alignment horizont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C00"/>
      <color rgb="FFEBEB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85897-77D3-114E-B856-EDDDDDDEF631}">
  <dimension ref="A1:AJ122"/>
  <sheetViews>
    <sheetView tabSelected="1" topLeftCell="P97" zoomScale="90" zoomScaleNormal="90" workbookViewId="0">
      <selection activeCell="AG99" sqref="AG99"/>
    </sheetView>
  </sheetViews>
  <sheetFormatPr baseColWidth="10" defaultRowHeight="18"/>
  <cols>
    <col min="1" max="1" width="29.5" style="3" customWidth="1"/>
    <col min="2" max="16384" width="10.83203125" style="3"/>
  </cols>
  <sheetData>
    <row r="1" spans="1:35">
      <c r="A1" s="10" t="s">
        <v>4</v>
      </c>
      <c r="B1" s="98" t="s">
        <v>5</v>
      </c>
      <c r="C1" s="98"/>
      <c r="D1" s="98"/>
      <c r="E1" s="98"/>
      <c r="F1" s="98"/>
    </row>
    <row r="2" spans="1:35">
      <c r="A2" s="10" t="s">
        <v>6</v>
      </c>
      <c r="B2" s="98" t="s">
        <v>1</v>
      </c>
      <c r="C2" s="98"/>
      <c r="D2" s="98"/>
      <c r="E2" s="98"/>
      <c r="F2" s="98"/>
    </row>
    <row r="3" spans="1:35">
      <c r="A3" s="10"/>
      <c r="B3" s="98"/>
      <c r="C3" s="98"/>
      <c r="D3" s="98"/>
      <c r="E3" s="98"/>
      <c r="F3" s="98"/>
    </row>
    <row r="4" spans="1:35" ht="19" thickBot="1">
      <c r="A4" s="6"/>
      <c r="B4" s="6"/>
      <c r="C4" s="6"/>
      <c r="D4" s="6"/>
      <c r="E4" s="6"/>
      <c r="F4" s="6"/>
    </row>
    <row r="5" spans="1:35" ht="19" thickBot="1">
      <c r="B5" s="99" t="s">
        <v>7</v>
      </c>
      <c r="C5" s="100"/>
      <c r="D5" s="100"/>
      <c r="E5" s="101"/>
    </row>
    <row r="6" spans="1:35" ht="19" thickBot="1">
      <c r="A6" s="3" t="s">
        <v>8</v>
      </c>
      <c r="B6" s="1">
        <v>248</v>
      </c>
      <c r="C6" s="2">
        <v>250</v>
      </c>
      <c r="D6" s="2">
        <v>244</v>
      </c>
      <c r="E6" s="4">
        <v>263</v>
      </c>
    </row>
    <row r="7" spans="1:35">
      <c r="B7" s="5">
        <v>951</v>
      </c>
      <c r="C7" s="6">
        <v>958</v>
      </c>
      <c r="D7" s="6">
        <v>960</v>
      </c>
      <c r="E7" s="7">
        <v>1</v>
      </c>
      <c r="AF7" s="3" t="s">
        <v>45</v>
      </c>
    </row>
    <row r="8" spans="1:35">
      <c r="B8" s="5">
        <v>3</v>
      </c>
      <c r="C8" s="6">
        <v>959</v>
      </c>
      <c r="D8" s="6">
        <v>2</v>
      </c>
      <c r="E8" s="7">
        <v>4</v>
      </c>
    </row>
    <row r="9" spans="1:35">
      <c r="B9" s="5">
        <v>5</v>
      </c>
      <c r="C9" s="6"/>
      <c r="D9" s="6">
        <v>953</v>
      </c>
      <c r="E9" s="7">
        <v>952</v>
      </c>
    </row>
    <row r="10" spans="1:35" ht="19" thickBot="1">
      <c r="B10" s="8">
        <v>78</v>
      </c>
      <c r="C10" s="9">
        <v>961</v>
      </c>
      <c r="D10" s="9">
        <v>79</v>
      </c>
      <c r="E10" s="4">
        <v>962</v>
      </c>
    </row>
    <row r="11" spans="1:35">
      <c r="A11" s="6"/>
      <c r="B11" s="6"/>
      <c r="C11" s="6"/>
      <c r="D11" s="6"/>
      <c r="E11" s="6"/>
      <c r="F11" s="6"/>
    </row>
    <row r="13" spans="1:35" ht="19" thickBot="1"/>
    <row r="14" spans="1:35" ht="19" thickBot="1">
      <c r="A14" s="11" t="s">
        <v>0</v>
      </c>
      <c r="B14" s="111" t="s">
        <v>12</v>
      </c>
      <c r="C14" s="105"/>
      <c r="D14" s="105"/>
      <c r="E14" s="105"/>
      <c r="F14" s="105"/>
      <c r="G14" s="105"/>
      <c r="H14" s="105"/>
      <c r="I14" s="106"/>
      <c r="J14" s="111" t="s">
        <v>13</v>
      </c>
      <c r="K14" s="105"/>
      <c r="L14" s="105"/>
      <c r="M14" s="105"/>
      <c r="N14" s="105"/>
      <c r="O14" s="105"/>
      <c r="P14" s="105"/>
      <c r="Q14" s="106"/>
      <c r="R14" s="105" t="s">
        <v>14</v>
      </c>
      <c r="S14" s="105"/>
      <c r="T14" s="105"/>
      <c r="U14" s="105"/>
      <c r="V14" s="105"/>
      <c r="W14" s="106"/>
      <c r="X14" s="105" t="s">
        <v>20</v>
      </c>
      <c r="Y14" s="105"/>
      <c r="Z14" s="105"/>
      <c r="AA14" s="105"/>
      <c r="AB14" s="105"/>
      <c r="AC14" s="105"/>
      <c r="AD14" s="105"/>
      <c r="AE14" s="106"/>
    </row>
    <row r="15" spans="1:35" ht="19" thickBot="1">
      <c r="A15" s="11"/>
      <c r="B15" s="112" t="s">
        <v>10</v>
      </c>
      <c r="C15" s="113"/>
      <c r="D15" s="113"/>
      <c r="E15" s="113"/>
      <c r="F15" s="113"/>
      <c r="G15" s="113"/>
      <c r="H15" s="113"/>
      <c r="I15" s="114"/>
      <c r="J15" s="115" t="s">
        <v>16</v>
      </c>
      <c r="K15" s="116"/>
      <c r="L15" s="116"/>
      <c r="M15" s="116"/>
      <c r="N15" s="116"/>
      <c r="O15" s="116"/>
      <c r="P15" s="116"/>
      <c r="Q15" s="117"/>
      <c r="R15" s="105" t="s">
        <v>11</v>
      </c>
      <c r="S15" s="105"/>
      <c r="T15" s="105"/>
      <c r="U15" s="105"/>
      <c r="V15" s="105"/>
      <c r="W15" s="106"/>
      <c r="X15" s="107" t="s">
        <v>9</v>
      </c>
      <c r="Y15" s="107"/>
      <c r="Z15" s="107"/>
      <c r="AA15" s="107"/>
      <c r="AB15" s="107"/>
      <c r="AC15" s="107"/>
      <c r="AD15" s="107"/>
      <c r="AE15" s="108"/>
    </row>
    <row r="16" spans="1:35" ht="25">
      <c r="A16" s="12"/>
      <c r="B16" s="127">
        <v>951</v>
      </c>
      <c r="C16" s="128"/>
      <c r="D16" s="102">
        <v>3</v>
      </c>
      <c r="E16" s="102"/>
      <c r="F16" s="102">
        <v>5</v>
      </c>
      <c r="G16" s="102"/>
      <c r="H16" s="102">
        <v>78</v>
      </c>
      <c r="I16" s="103"/>
      <c r="J16" s="104">
        <v>1</v>
      </c>
      <c r="K16" s="97"/>
      <c r="L16" s="95">
        <v>4</v>
      </c>
      <c r="M16" s="97"/>
      <c r="N16" s="95">
        <v>952</v>
      </c>
      <c r="O16" s="97"/>
      <c r="P16" s="95">
        <v>962</v>
      </c>
      <c r="Q16" s="96"/>
      <c r="R16" s="118">
        <v>958</v>
      </c>
      <c r="S16" s="119"/>
      <c r="T16" s="120">
        <v>959</v>
      </c>
      <c r="U16" s="119"/>
      <c r="V16" s="120">
        <v>961</v>
      </c>
      <c r="W16" s="121"/>
      <c r="X16" s="122">
        <v>960</v>
      </c>
      <c r="Y16" s="123"/>
      <c r="Z16" s="124">
        <v>2</v>
      </c>
      <c r="AA16" s="125"/>
      <c r="AB16" s="126">
        <v>953</v>
      </c>
      <c r="AC16" s="123"/>
      <c r="AD16" s="109">
        <v>79</v>
      </c>
      <c r="AE16" s="110"/>
      <c r="AF16" s="83"/>
      <c r="AG16" s="83"/>
      <c r="AH16" s="83"/>
      <c r="AI16" s="83"/>
    </row>
    <row r="17" spans="1:31" ht="20" thickBot="1">
      <c r="A17" s="12"/>
      <c r="B17" s="13" t="s">
        <v>2</v>
      </c>
      <c r="C17" s="14" t="s">
        <v>3</v>
      </c>
      <c r="D17" s="15" t="s">
        <v>2</v>
      </c>
      <c r="E17" s="15" t="s">
        <v>3</v>
      </c>
      <c r="F17" s="15" t="s">
        <v>2</v>
      </c>
      <c r="G17" s="15" t="s">
        <v>3</v>
      </c>
      <c r="H17" s="15" t="s">
        <v>2</v>
      </c>
      <c r="I17" s="16" t="s">
        <v>3</v>
      </c>
      <c r="J17" s="17" t="s">
        <v>2</v>
      </c>
      <c r="K17" s="18" t="s">
        <v>3</v>
      </c>
      <c r="L17" s="18" t="s">
        <v>2</v>
      </c>
      <c r="M17" s="18" t="s">
        <v>3</v>
      </c>
      <c r="N17" s="18" t="s">
        <v>2</v>
      </c>
      <c r="O17" s="18" t="s">
        <v>3</v>
      </c>
      <c r="P17" s="18" t="s">
        <v>2</v>
      </c>
      <c r="Q17" s="19" t="s">
        <v>3</v>
      </c>
      <c r="R17" s="21" t="s">
        <v>2</v>
      </c>
      <c r="S17" s="20" t="s">
        <v>3</v>
      </c>
      <c r="T17" s="20" t="s">
        <v>2</v>
      </c>
      <c r="U17" s="20" t="s">
        <v>3</v>
      </c>
      <c r="V17" s="20" t="s">
        <v>2</v>
      </c>
      <c r="W17" s="22" t="s">
        <v>3</v>
      </c>
      <c r="X17" s="49" t="s">
        <v>2</v>
      </c>
      <c r="Y17" s="50" t="s">
        <v>3</v>
      </c>
      <c r="Z17" s="51" t="s">
        <v>2</v>
      </c>
      <c r="AA17" s="51" t="s">
        <v>3</v>
      </c>
      <c r="AB17" s="50" t="s">
        <v>2</v>
      </c>
      <c r="AC17" s="50" t="s">
        <v>3</v>
      </c>
      <c r="AD17" s="52" t="s">
        <v>2</v>
      </c>
      <c r="AE17" s="53" t="s">
        <v>3</v>
      </c>
    </row>
    <row r="18" spans="1:31" ht="19">
      <c r="A18" s="6" t="s">
        <v>6</v>
      </c>
      <c r="B18" s="33">
        <v>2.5</v>
      </c>
      <c r="C18" s="23">
        <v>6.4</v>
      </c>
      <c r="D18" s="24">
        <v>3.5</v>
      </c>
      <c r="E18" s="24">
        <v>5</v>
      </c>
      <c r="F18" s="24">
        <v>4.3</v>
      </c>
      <c r="G18" s="24">
        <v>4.8</v>
      </c>
      <c r="H18" s="24">
        <v>3.9</v>
      </c>
      <c r="I18" s="25">
        <v>4.4000000000000004</v>
      </c>
      <c r="J18" s="26">
        <v>2.9</v>
      </c>
      <c r="K18" s="27">
        <v>4.5</v>
      </c>
      <c r="L18" s="27">
        <v>2.4</v>
      </c>
      <c r="M18" s="27">
        <v>6.1</v>
      </c>
      <c r="N18" s="27">
        <v>3.7</v>
      </c>
      <c r="O18" s="27">
        <v>3.7</v>
      </c>
      <c r="P18" s="28">
        <v>3.4</v>
      </c>
      <c r="Q18" s="29">
        <v>4.7</v>
      </c>
      <c r="R18" s="30">
        <v>5.6</v>
      </c>
      <c r="S18" s="27">
        <v>5.0999999999999996</v>
      </c>
      <c r="T18" s="27">
        <v>6.8</v>
      </c>
      <c r="U18" s="27">
        <v>5.6</v>
      </c>
      <c r="V18" s="27">
        <v>5.7</v>
      </c>
      <c r="W18" s="34">
        <v>3.9</v>
      </c>
      <c r="X18" s="30">
        <v>4.5</v>
      </c>
      <c r="Y18" s="27">
        <v>6.2</v>
      </c>
      <c r="Z18" s="27">
        <v>5.2</v>
      </c>
      <c r="AA18" s="27">
        <v>4.2</v>
      </c>
      <c r="AB18" s="27">
        <v>3.6</v>
      </c>
      <c r="AC18" s="36">
        <v>5.0999999999999996</v>
      </c>
      <c r="AD18" s="31">
        <v>5.6</v>
      </c>
      <c r="AE18" s="32">
        <v>4.5</v>
      </c>
    </row>
    <row r="19" spans="1:31">
      <c r="A19" s="3" t="s">
        <v>17</v>
      </c>
      <c r="B19" s="41">
        <v>2.5</v>
      </c>
      <c r="C19" s="39">
        <v>4.4000000000000004</v>
      </c>
      <c r="D19" s="39">
        <v>2.4</v>
      </c>
      <c r="E19" s="39">
        <v>3.1</v>
      </c>
      <c r="F19" s="39">
        <v>3.2</v>
      </c>
      <c r="G19" s="39">
        <v>3.3</v>
      </c>
      <c r="H19" s="39">
        <v>2.8</v>
      </c>
      <c r="I19" s="40">
        <v>2.7</v>
      </c>
      <c r="J19" s="41">
        <v>2</v>
      </c>
      <c r="K19" s="39">
        <v>3.5</v>
      </c>
      <c r="L19" s="48">
        <v>2.4</v>
      </c>
      <c r="M19" s="39">
        <v>3.7</v>
      </c>
      <c r="N19" s="39">
        <v>2.8</v>
      </c>
      <c r="O19" s="39">
        <v>2.6</v>
      </c>
      <c r="P19" s="39">
        <v>2.5</v>
      </c>
      <c r="Q19" s="40">
        <v>3.2</v>
      </c>
      <c r="R19" s="39">
        <v>4.8</v>
      </c>
      <c r="S19" s="39">
        <v>4.5</v>
      </c>
      <c r="T19" s="39">
        <v>5.6</v>
      </c>
      <c r="U19" s="39">
        <v>4.7</v>
      </c>
      <c r="V19" s="39">
        <v>4.3</v>
      </c>
      <c r="W19" s="40">
        <v>3.6</v>
      </c>
      <c r="X19" s="39">
        <v>3.4</v>
      </c>
      <c r="Y19" s="39">
        <v>4.2</v>
      </c>
      <c r="Z19" s="39">
        <v>3.7</v>
      </c>
      <c r="AA19" s="39">
        <v>3</v>
      </c>
      <c r="AB19" s="39">
        <v>2.6</v>
      </c>
      <c r="AC19" s="39">
        <v>2.8</v>
      </c>
      <c r="AD19" s="39">
        <v>4.0999999999999996</v>
      </c>
      <c r="AE19" s="40">
        <v>3.1</v>
      </c>
    </row>
    <row r="20" spans="1:31" s="38" customFormat="1">
      <c r="A20" s="38" t="s">
        <v>23</v>
      </c>
      <c r="B20" s="41">
        <v>1.8</v>
      </c>
      <c r="C20" s="39">
        <v>4.0999999999999996</v>
      </c>
      <c r="D20" s="39">
        <v>2.2000000000000002</v>
      </c>
      <c r="E20" s="39">
        <v>3.6</v>
      </c>
      <c r="F20" s="39">
        <v>2.8</v>
      </c>
      <c r="G20" s="39">
        <v>2.9</v>
      </c>
      <c r="H20" s="39">
        <v>2.8</v>
      </c>
      <c r="I20" s="40">
        <v>2.9</v>
      </c>
      <c r="J20" s="42">
        <v>2.2999999999999998</v>
      </c>
      <c r="K20" s="43">
        <v>3.5</v>
      </c>
      <c r="L20" s="43">
        <v>2.2000000000000002</v>
      </c>
      <c r="M20" s="43">
        <v>4</v>
      </c>
      <c r="N20" s="43">
        <v>2.7</v>
      </c>
      <c r="O20" s="43">
        <v>3.7</v>
      </c>
      <c r="P20" s="43">
        <v>3.2</v>
      </c>
      <c r="Q20" s="44">
        <v>3.4</v>
      </c>
      <c r="R20" s="39">
        <v>4.2</v>
      </c>
      <c r="S20" s="39">
        <v>4.2</v>
      </c>
      <c r="T20" s="39">
        <v>5.4</v>
      </c>
      <c r="U20" s="39">
        <v>4.4000000000000004</v>
      </c>
      <c r="V20" s="39">
        <v>4.3</v>
      </c>
      <c r="W20" s="40">
        <v>3.3</v>
      </c>
      <c r="X20" s="43">
        <v>4.0999999999999996</v>
      </c>
      <c r="Y20" s="43">
        <v>4.9000000000000004</v>
      </c>
      <c r="Z20" s="43">
        <v>4.4000000000000004</v>
      </c>
      <c r="AA20" s="43">
        <v>3.8</v>
      </c>
      <c r="AB20" s="43">
        <v>2.9</v>
      </c>
      <c r="AC20" s="43">
        <v>4.9000000000000004</v>
      </c>
      <c r="AD20" s="43">
        <v>5</v>
      </c>
      <c r="AE20" s="44">
        <v>3.9</v>
      </c>
    </row>
    <row r="21" spans="1:31">
      <c r="A21" s="3" t="s">
        <v>24</v>
      </c>
      <c r="B21" s="41">
        <v>1.7</v>
      </c>
      <c r="C21" s="39">
        <v>3.4</v>
      </c>
      <c r="D21" s="39">
        <v>2.2999999999999998</v>
      </c>
      <c r="E21" s="39">
        <v>2.6</v>
      </c>
      <c r="F21" s="39">
        <v>2.5</v>
      </c>
      <c r="G21" s="39">
        <v>2.6</v>
      </c>
      <c r="H21" s="39">
        <v>2.4</v>
      </c>
      <c r="I21" s="40">
        <v>2.7</v>
      </c>
      <c r="J21" s="41">
        <v>2</v>
      </c>
      <c r="K21" s="39">
        <v>3.2</v>
      </c>
      <c r="L21" s="39">
        <v>1.8</v>
      </c>
      <c r="M21" s="39">
        <v>3.4</v>
      </c>
      <c r="N21" s="39">
        <v>2.9</v>
      </c>
      <c r="O21" s="39">
        <v>3.2</v>
      </c>
      <c r="P21" s="39">
        <v>2.6</v>
      </c>
      <c r="Q21" s="40">
        <v>3.5</v>
      </c>
      <c r="R21" s="39">
        <v>4</v>
      </c>
      <c r="S21" s="39">
        <v>4.5999999999999996</v>
      </c>
      <c r="T21" s="39">
        <v>5.4</v>
      </c>
      <c r="U21" s="39">
        <v>4.5999999999999996</v>
      </c>
      <c r="V21" s="39">
        <v>4.3</v>
      </c>
      <c r="W21" s="40">
        <v>3.4</v>
      </c>
      <c r="X21" s="39">
        <v>3.7</v>
      </c>
      <c r="Y21" s="39">
        <v>4.5999999999999996</v>
      </c>
      <c r="Z21" s="39">
        <v>4</v>
      </c>
      <c r="AA21" s="39">
        <v>3.4</v>
      </c>
      <c r="AB21" s="39">
        <v>2.5</v>
      </c>
      <c r="AC21" s="39">
        <v>2.8</v>
      </c>
      <c r="AD21" s="39">
        <v>4.3</v>
      </c>
      <c r="AE21" s="40">
        <v>3.4</v>
      </c>
    </row>
    <row r="22" spans="1:31" s="38" customFormat="1">
      <c r="A22" s="38" t="s">
        <v>26</v>
      </c>
      <c r="B22" s="41">
        <v>1.7</v>
      </c>
      <c r="C22" s="39">
        <v>3.6</v>
      </c>
      <c r="D22" s="39">
        <v>2</v>
      </c>
      <c r="E22" s="39">
        <v>2.7</v>
      </c>
      <c r="F22" s="39">
        <v>2.4</v>
      </c>
      <c r="G22" s="39">
        <v>2.6</v>
      </c>
      <c r="H22" s="39">
        <v>2.2999999999999998</v>
      </c>
      <c r="I22" s="40">
        <v>2.4</v>
      </c>
      <c r="J22" s="42">
        <v>2.4</v>
      </c>
      <c r="K22" s="43">
        <v>3.1</v>
      </c>
      <c r="L22" s="43">
        <v>1.9</v>
      </c>
      <c r="M22" s="43">
        <v>3.8</v>
      </c>
      <c r="N22" s="43">
        <v>2.9</v>
      </c>
      <c r="O22" s="43">
        <v>3.2</v>
      </c>
      <c r="P22" s="43">
        <v>3</v>
      </c>
      <c r="Q22" s="44">
        <v>3.6</v>
      </c>
      <c r="R22" s="39">
        <v>4</v>
      </c>
      <c r="S22" s="39">
        <v>4.25</v>
      </c>
      <c r="T22" s="39">
        <v>5.7</v>
      </c>
      <c r="U22" s="39">
        <v>4.7</v>
      </c>
      <c r="V22" s="39">
        <v>4.2</v>
      </c>
      <c r="W22" s="40">
        <v>3.2</v>
      </c>
      <c r="X22" s="43">
        <v>4.4000000000000004</v>
      </c>
      <c r="Y22" s="43">
        <v>5.4</v>
      </c>
      <c r="Z22" s="43">
        <v>4.8</v>
      </c>
      <c r="AA22" s="43">
        <v>4</v>
      </c>
      <c r="AB22" s="43">
        <v>2.9</v>
      </c>
      <c r="AC22" s="43">
        <v>3.8</v>
      </c>
      <c r="AD22" s="43">
        <v>5</v>
      </c>
      <c r="AE22" s="44">
        <v>4.0999999999999996</v>
      </c>
    </row>
    <row r="23" spans="1:31">
      <c r="A23" s="3" t="s">
        <v>27</v>
      </c>
      <c r="B23" s="41">
        <v>1.6</v>
      </c>
      <c r="C23" s="39">
        <v>3.6</v>
      </c>
      <c r="D23" s="39">
        <v>1.7</v>
      </c>
      <c r="E23" s="39">
        <v>2.7</v>
      </c>
      <c r="F23" s="39">
        <v>2.2000000000000002</v>
      </c>
      <c r="G23" s="39">
        <v>2.6</v>
      </c>
      <c r="H23" s="39">
        <v>2.2999999999999998</v>
      </c>
      <c r="I23" s="40">
        <v>2.5</v>
      </c>
      <c r="J23" s="39">
        <v>1.9</v>
      </c>
      <c r="K23" s="39">
        <v>3</v>
      </c>
      <c r="L23" s="39">
        <v>2</v>
      </c>
      <c r="M23" s="39">
        <v>3.3</v>
      </c>
      <c r="N23" s="39">
        <v>2.8</v>
      </c>
      <c r="O23" s="39">
        <v>3</v>
      </c>
      <c r="P23" s="39">
        <v>2.6</v>
      </c>
      <c r="Q23" s="40">
        <v>3.2</v>
      </c>
      <c r="R23" s="41">
        <v>4.2</v>
      </c>
      <c r="S23" s="39">
        <v>4.2</v>
      </c>
      <c r="T23" s="39">
        <v>5.5</v>
      </c>
      <c r="U23" s="39">
        <v>4.5999999999999996</v>
      </c>
      <c r="V23" s="39">
        <v>4.3</v>
      </c>
      <c r="W23" s="40">
        <v>3.3</v>
      </c>
      <c r="X23" s="39">
        <v>3.7</v>
      </c>
      <c r="Y23" s="39">
        <v>4.7</v>
      </c>
      <c r="Z23" s="39">
        <v>4.3</v>
      </c>
      <c r="AA23" s="39">
        <v>3.45</v>
      </c>
      <c r="AB23" s="39">
        <v>2.6</v>
      </c>
      <c r="AC23" s="39">
        <v>4.5999999999999996</v>
      </c>
      <c r="AD23" s="39">
        <v>4.3</v>
      </c>
      <c r="AE23" s="40">
        <v>3.6</v>
      </c>
    </row>
    <row r="24" spans="1:31" s="38" customFormat="1">
      <c r="A24" s="3" t="s">
        <v>28</v>
      </c>
      <c r="B24" s="41">
        <v>1.8</v>
      </c>
      <c r="C24" s="39">
        <v>3.4</v>
      </c>
      <c r="D24" s="39">
        <v>1.9</v>
      </c>
      <c r="E24" s="39">
        <v>2.6</v>
      </c>
      <c r="F24" s="39">
        <v>2.2999999999999998</v>
      </c>
      <c r="G24" s="39">
        <v>2.75</v>
      </c>
      <c r="H24" s="39">
        <v>2.2000000000000002</v>
      </c>
      <c r="I24" s="40">
        <v>2.4500000000000002</v>
      </c>
      <c r="J24" s="41">
        <v>2</v>
      </c>
      <c r="K24" s="39">
        <v>3.1</v>
      </c>
      <c r="L24" s="39">
        <v>2.25</v>
      </c>
      <c r="M24" s="39">
        <v>3.6</v>
      </c>
      <c r="N24" s="39">
        <v>2.9</v>
      </c>
      <c r="O24" s="39">
        <v>3.2</v>
      </c>
      <c r="P24" s="39">
        <v>2.4</v>
      </c>
      <c r="Q24" s="40">
        <v>3.3</v>
      </c>
      <c r="R24" s="39">
        <v>4.3</v>
      </c>
      <c r="S24" s="39">
        <v>4.0999999999999996</v>
      </c>
      <c r="T24" s="39">
        <v>6.1</v>
      </c>
      <c r="U24" s="39">
        <v>4.7</v>
      </c>
      <c r="V24" s="39">
        <v>4.4000000000000004</v>
      </c>
      <c r="W24" s="40">
        <v>3.25</v>
      </c>
      <c r="X24" s="39">
        <v>3.8</v>
      </c>
      <c r="Y24" s="39">
        <v>4.7</v>
      </c>
      <c r="Z24" s="39">
        <v>4.2</v>
      </c>
      <c r="AA24" s="39">
        <v>3.5</v>
      </c>
      <c r="AB24" s="39">
        <v>2.75</v>
      </c>
      <c r="AC24" s="39">
        <v>4.8</v>
      </c>
      <c r="AD24" s="39">
        <v>4.5</v>
      </c>
      <c r="AE24" s="40">
        <v>3.7</v>
      </c>
    </row>
    <row r="25" spans="1:31" s="38" customFormat="1">
      <c r="A25" s="38" t="s">
        <v>29</v>
      </c>
      <c r="B25" s="41">
        <v>1.6</v>
      </c>
      <c r="C25" s="39">
        <v>3.3</v>
      </c>
      <c r="D25" s="39">
        <v>1.6</v>
      </c>
      <c r="E25" s="39">
        <v>2.4</v>
      </c>
      <c r="F25" s="39">
        <v>2.2999999999999998</v>
      </c>
      <c r="G25" s="39">
        <v>2.2999999999999998</v>
      </c>
      <c r="H25" s="39">
        <v>2</v>
      </c>
      <c r="I25" s="40">
        <v>2.1</v>
      </c>
      <c r="J25" s="42">
        <v>2</v>
      </c>
      <c r="K25" s="43">
        <v>3.1</v>
      </c>
      <c r="L25" s="43">
        <v>1.8</v>
      </c>
      <c r="M25" s="43">
        <v>3.6</v>
      </c>
      <c r="N25" s="43">
        <v>2.96</v>
      </c>
      <c r="O25" s="43">
        <v>3.2</v>
      </c>
      <c r="P25" s="43">
        <v>2.8</v>
      </c>
      <c r="Q25" s="44">
        <v>3.2</v>
      </c>
      <c r="R25" s="39">
        <v>3.76</v>
      </c>
      <c r="S25" s="39">
        <v>4</v>
      </c>
      <c r="T25" s="39">
        <v>5.2</v>
      </c>
      <c r="U25" s="39">
        <v>4.5999999999999996</v>
      </c>
      <c r="V25" s="39">
        <v>4.3</v>
      </c>
      <c r="W25" s="40">
        <v>3</v>
      </c>
      <c r="X25" s="43">
        <v>4.3</v>
      </c>
      <c r="Y25" s="43">
        <v>5.3</v>
      </c>
      <c r="Z25" s="43">
        <v>4.9000000000000004</v>
      </c>
      <c r="AA25" s="43">
        <v>4.0999999999999996</v>
      </c>
      <c r="AB25" s="43">
        <v>2.8</v>
      </c>
      <c r="AC25" s="43">
        <v>3</v>
      </c>
      <c r="AD25" s="43">
        <v>4.9000000000000004</v>
      </c>
      <c r="AE25" s="44">
        <v>3.9</v>
      </c>
    </row>
    <row r="26" spans="1:31">
      <c r="A26" s="3" t="s">
        <v>31</v>
      </c>
      <c r="B26" s="85">
        <v>1.6</v>
      </c>
      <c r="C26" s="86">
        <v>3.2</v>
      </c>
      <c r="D26" s="86">
        <v>1.6</v>
      </c>
      <c r="E26" s="86">
        <v>2.4</v>
      </c>
      <c r="F26" s="86">
        <v>2.1</v>
      </c>
      <c r="G26" s="86">
        <v>2.2999999999999998</v>
      </c>
      <c r="H26" s="86">
        <v>1.9</v>
      </c>
      <c r="I26" s="87">
        <v>2</v>
      </c>
      <c r="J26" s="86">
        <v>1.6</v>
      </c>
      <c r="K26" s="86">
        <v>2.5</v>
      </c>
      <c r="L26" s="86">
        <v>1.6</v>
      </c>
      <c r="M26" s="86">
        <v>3.2</v>
      </c>
      <c r="N26" s="86">
        <v>2.7</v>
      </c>
      <c r="O26" s="86">
        <v>3.2</v>
      </c>
      <c r="P26" s="86">
        <v>2.5</v>
      </c>
      <c r="Q26" s="87">
        <v>3.2</v>
      </c>
      <c r="R26" s="86">
        <v>3.9</v>
      </c>
      <c r="S26" s="86">
        <v>3.8</v>
      </c>
      <c r="T26" s="86">
        <v>6.1</v>
      </c>
      <c r="U26" s="86">
        <v>5</v>
      </c>
      <c r="V26" s="86">
        <v>4.3</v>
      </c>
      <c r="W26" s="87">
        <v>3</v>
      </c>
      <c r="X26" s="86">
        <v>4</v>
      </c>
      <c r="Y26" s="86">
        <v>5.0999999999999996</v>
      </c>
      <c r="Z26" s="86">
        <v>4.5999999999999996</v>
      </c>
      <c r="AA26" s="86">
        <v>3.6</v>
      </c>
      <c r="AB26" s="86">
        <v>2.4</v>
      </c>
      <c r="AC26" s="86">
        <v>2.7</v>
      </c>
      <c r="AD26" s="86">
        <v>4.3</v>
      </c>
      <c r="AE26" s="87">
        <v>3.5</v>
      </c>
    </row>
    <row r="27" spans="1:31">
      <c r="A27" s="38" t="s">
        <v>32</v>
      </c>
      <c r="B27" s="93">
        <v>1.6</v>
      </c>
      <c r="C27" s="39">
        <v>3</v>
      </c>
      <c r="D27" s="39">
        <v>1.6</v>
      </c>
      <c r="E27" s="39">
        <v>2.2999999999999998</v>
      </c>
      <c r="F27" s="39">
        <v>2.2000000000000002</v>
      </c>
      <c r="G27" s="39">
        <v>2.1</v>
      </c>
      <c r="H27" s="39">
        <v>2.1</v>
      </c>
      <c r="I27" s="40">
        <v>2.2000000000000002</v>
      </c>
      <c r="J27" s="42">
        <v>2.2000000000000002</v>
      </c>
      <c r="K27" s="43">
        <v>2.8</v>
      </c>
      <c r="L27" s="43">
        <v>1.8</v>
      </c>
      <c r="M27" s="43">
        <v>3.6</v>
      </c>
      <c r="N27" s="43">
        <v>3.1</v>
      </c>
      <c r="O27" s="43">
        <v>3.6</v>
      </c>
      <c r="P27" s="43">
        <v>2.7</v>
      </c>
      <c r="Q27" s="44">
        <v>3.5</v>
      </c>
      <c r="R27" s="39">
        <v>3.65</v>
      </c>
      <c r="S27" s="39">
        <v>3.67</v>
      </c>
      <c r="T27" s="39">
        <v>6.1</v>
      </c>
      <c r="U27" s="39">
        <v>4.8</v>
      </c>
      <c r="V27" s="39">
        <v>4.5999999999999996</v>
      </c>
      <c r="W27" s="40">
        <v>3.1</v>
      </c>
      <c r="X27" s="43">
        <v>4.7</v>
      </c>
      <c r="Y27" s="43">
        <v>5.9</v>
      </c>
      <c r="Z27" s="43">
        <v>5.9</v>
      </c>
      <c r="AA27" s="43">
        <v>4.2</v>
      </c>
      <c r="AB27" s="43">
        <v>2.7</v>
      </c>
      <c r="AC27" s="43">
        <v>4</v>
      </c>
      <c r="AD27" s="43">
        <v>5.0999999999999996</v>
      </c>
      <c r="AE27" s="44">
        <v>4.5</v>
      </c>
    </row>
    <row r="28" spans="1:31">
      <c r="A28" s="3" t="s">
        <v>35</v>
      </c>
      <c r="B28" s="93">
        <v>1.6</v>
      </c>
      <c r="C28" s="39">
        <v>3</v>
      </c>
      <c r="D28" s="39">
        <v>1.2</v>
      </c>
      <c r="E28" s="39">
        <v>2.4</v>
      </c>
      <c r="F28" s="39">
        <v>2</v>
      </c>
      <c r="G28" s="39">
        <v>2.2000000000000002</v>
      </c>
      <c r="H28" s="39">
        <v>1.9</v>
      </c>
      <c r="I28" s="40">
        <v>1.9</v>
      </c>
      <c r="J28" s="41">
        <v>1.8</v>
      </c>
      <c r="K28" s="39">
        <v>2.5</v>
      </c>
      <c r="L28" s="39">
        <v>1.6</v>
      </c>
      <c r="M28" s="39">
        <v>3.4</v>
      </c>
      <c r="N28" s="39">
        <v>2.5</v>
      </c>
      <c r="O28" s="39">
        <v>3.1</v>
      </c>
      <c r="P28" s="39">
        <v>2.1</v>
      </c>
      <c r="Q28" s="40">
        <v>2.8</v>
      </c>
      <c r="R28" s="39">
        <v>4.5</v>
      </c>
      <c r="S28" s="39">
        <v>4.0999999999999996</v>
      </c>
      <c r="T28" s="39">
        <v>6.7</v>
      </c>
      <c r="U28" s="39">
        <v>5</v>
      </c>
      <c r="V28" s="39">
        <v>4.8</v>
      </c>
      <c r="W28" s="40">
        <v>3.4</v>
      </c>
      <c r="X28" s="39">
        <v>4.5</v>
      </c>
      <c r="Y28" s="39">
        <v>3</v>
      </c>
      <c r="Z28" s="39">
        <v>5</v>
      </c>
      <c r="AA28" s="39">
        <v>3.7</v>
      </c>
      <c r="AB28" s="39">
        <v>2.6</v>
      </c>
      <c r="AC28" s="39">
        <v>2.7</v>
      </c>
      <c r="AD28" s="39">
        <v>4.5</v>
      </c>
      <c r="AE28" s="40">
        <v>3.8</v>
      </c>
    </row>
    <row r="29" spans="1:31">
      <c r="A29" s="38" t="s">
        <v>36</v>
      </c>
      <c r="B29" s="93">
        <v>1.6</v>
      </c>
      <c r="C29" s="39">
        <v>3.3</v>
      </c>
      <c r="D29" s="39">
        <v>1.3</v>
      </c>
      <c r="E29" s="39">
        <v>2.4</v>
      </c>
      <c r="F29" s="39">
        <v>2.1</v>
      </c>
      <c r="G29" s="39">
        <v>2.2999999999999998</v>
      </c>
      <c r="H29" s="39">
        <v>2</v>
      </c>
      <c r="I29" s="40">
        <v>2</v>
      </c>
      <c r="J29" s="42">
        <v>1.86</v>
      </c>
      <c r="K29" s="43">
        <v>1.6</v>
      </c>
      <c r="L29" s="43">
        <v>2</v>
      </c>
      <c r="M29" s="43">
        <v>3.75</v>
      </c>
      <c r="N29" s="43">
        <v>3.2</v>
      </c>
      <c r="O29" s="43">
        <v>3.85</v>
      </c>
      <c r="P29" s="43">
        <v>2.6</v>
      </c>
      <c r="Q29" s="44">
        <v>3.3</v>
      </c>
      <c r="R29" s="39">
        <v>4.5</v>
      </c>
      <c r="S29" s="39">
        <v>4</v>
      </c>
      <c r="T29" s="39">
        <v>7.1</v>
      </c>
      <c r="U29" s="39">
        <v>5.3</v>
      </c>
      <c r="V29" s="39">
        <v>5.0999999999999996</v>
      </c>
      <c r="W29" s="40">
        <v>3.4</v>
      </c>
      <c r="X29" s="43">
        <v>4.7</v>
      </c>
      <c r="Y29" s="43">
        <v>6.2</v>
      </c>
      <c r="Z29" s="43">
        <v>6.3</v>
      </c>
      <c r="AA29" s="43">
        <v>4.5</v>
      </c>
      <c r="AB29" s="43">
        <v>2.7</v>
      </c>
      <c r="AC29" s="43">
        <v>2.8</v>
      </c>
      <c r="AD29" s="43">
        <v>5.26</v>
      </c>
      <c r="AE29" s="44">
        <v>4.2</v>
      </c>
    </row>
    <row r="30" spans="1:31">
      <c r="A30" s="3" t="s">
        <v>37</v>
      </c>
      <c r="B30" s="93">
        <v>1.6</v>
      </c>
      <c r="C30" s="39">
        <v>3.4</v>
      </c>
      <c r="D30" s="39">
        <v>1.2</v>
      </c>
      <c r="E30" s="39">
        <v>2.5</v>
      </c>
      <c r="F30" s="39">
        <v>2.1</v>
      </c>
      <c r="G30" s="39">
        <v>2.2000000000000002</v>
      </c>
      <c r="H30" s="39">
        <v>2.16</v>
      </c>
      <c r="I30" s="40">
        <v>2.2000000000000002</v>
      </c>
      <c r="J30" s="41">
        <v>1.65</v>
      </c>
      <c r="K30" s="39">
        <v>2.7</v>
      </c>
      <c r="L30" s="39">
        <v>1.65</v>
      </c>
      <c r="M30" s="39">
        <v>3.25</v>
      </c>
      <c r="N30" s="39">
        <v>2.57</v>
      </c>
      <c r="O30" s="39">
        <v>3.3</v>
      </c>
      <c r="P30" s="39">
        <v>2.2000000000000002</v>
      </c>
      <c r="Q30" s="40">
        <v>2.87</v>
      </c>
      <c r="R30" s="39">
        <v>4.45</v>
      </c>
      <c r="S30" s="39">
        <v>4.5999999999999996</v>
      </c>
      <c r="T30" s="39">
        <v>7.5</v>
      </c>
      <c r="U30" s="39">
        <v>5.3</v>
      </c>
      <c r="V30" s="39">
        <v>5.4</v>
      </c>
      <c r="W30" s="40">
        <v>3.6</v>
      </c>
      <c r="X30" s="39">
        <v>4.0999999999999996</v>
      </c>
      <c r="Y30" s="39">
        <v>5.6</v>
      </c>
      <c r="Z30" s="39">
        <v>5.9</v>
      </c>
      <c r="AA30" s="39">
        <v>4</v>
      </c>
      <c r="AB30" s="39">
        <v>1.2</v>
      </c>
      <c r="AC30" s="39">
        <v>2.65</v>
      </c>
      <c r="AD30" s="39">
        <v>4.5999999999999996</v>
      </c>
      <c r="AE30" s="40">
        <v>3.6</v>
      </c>
    </row>
    <row r="31" spans="1:31">
      <c r="A31" s="38" t="s">
        <v>38</v>
      </c>
      <c r="B31" s="93">
        <v>1.6</v>
      </c>
      <c r="C31" s="39">
        <v>3.8</v>
      </c>
      <c r="D31" s="94">
        <v>1.2</v>
      </c>
      <c r="E31" s="39">
        <v>2.6</v>
      </c>
      <c r="F31" s="39">
        <v>2.2000000000000002</v>
      </c>
      <c r="G31" s="39">
        <v>2.2000000000000002</v>
      </c>
      <c r="H31" s="39">
        <v>2.4</v>
      </c>
      <c r="I31" s="40">
        <v>2.1</v>
      </c>
      <c r="J31" s="42">
        <v>2</v>
      </c>
      <c r="K31" s="43">
        <v>2.7</v>
      </c>
      <c r="L31" s="43">
        <v>1.8</v>
      </c>
      <c r="M31" s="43">
        <v>3.85</v>
      </c>
      <c r="N31" s="43">
        <v>3.4</v>
      </c>
      <c r="O31" s="43">
        <v>4.0999999999999996</v>
      </c>
      <c r="P31" s="43">
        <v>2.6</v>
      </c>
      <c r="Q31" s="44">
        <v>3.4</v>
      </c>
      <c r="R31" s="39">
        <v>4.4000000000000004</v>
      </c>
      <c r="S31" s="39">
        <v>4.5</v>
      </c>
      <c r="T31" s="39">
        <v>8.3000000000000007</v>
      </c>
      <c r="U31" s="39">
        <v>5.45</v>
      </c>
      <c r="V31" s="39">
        <v>5.8</v>
      </c>
      <c r="W31" s="40">
        <v>4</v>
      </c>
      <c r="X31" s="43">
        <v>4.7</v>
      </c>
      <c r="Y31" s="43">
        <v>7.9</v>
      </c>
      <c r="Z31" s="43">
        <v>6.84</v>
      </c>
      <c r="AA31" s="43">
        <v>4.5999999999999996</v>
      </c>
      <c r="AB31" s="43">
        <v>2.8</v>
      </c>
      <c r="AC31" s="43">
        <v>3</v>
      </c>
      <c r="AD31" s="43">
        <v>5.3</v>
      </c>
      <c r="AE31" s="44">
        <v>4</v>
      </c>
    </row>
    <row r="32" spans="1:31">
      <c r="A32" s="3" t="s">
        <v>39</v>
      </c>
      <c r="B32" s="93">
        <v>1.6</v>
      </c>
      <c r="C32" s="39">
        <v>3.8</v>
      </c>
      <c r="D32" s="94">
        <v>1.2</v>
      </c>
      <c r="E32" s="39">
        <v>2.5</v>
      </c>
      <c r="F32" s="39">
        <v>2.2000000000000002</v>
      </c>
      <c r="G32" s="39">
        <v>2.2999999999999998</v>
      </c>
      <c r="H32" s="39">
        <v>2.1</v>
      </c>
      <c r="I32" s="40">
        <v>2.25</v>
      </c>
      <c r="J32" s="41">
        <v>1.7</v>
      </c>
      <c r="K32" s="39">
        <v>2.4</v>
      </c>
      <c r="L32" s="39">
        <v>1.5</v>
      </c>
      <c r="M32" s="39">
        <v>3.6</v>
      </c>
      <c r="N32" s="39">
        <v>2.9</v>
      </c>
      <c r="O32" s="39">
        <v>3.85</v>
      </c>
      <c r="P32" s="39">
        <v>2.4</v>
      </c>
      <c r="Q32" s="40">
        <v>3.3</v>
      </c>
      <c r="R32" s="39">
        <v>4.5999999999999996</v>
      </c>
      <c r="S32" s="39">
        <v>4.5999999999999996</v>
      </c>
      <c r="T32" s="39">
        <v>9.4</v>
      </c>
      <c r="U32" s="39">
        <v>6.3</v>
      </c>
      <c r="V32" s="39">
        <v>6</v>
      </c>
      <c r="W32" s="40">
        <v>4.0999999999999996</v>
      </c>
      <c r="X32" s="39">
        <v>4.4000000000000004</v>
      </c>
      <c r="Y32" s="39">
        <v>6.1</v>
      </c>
      <c r="Z32" s="39">
        <v>7</v>
      </c>
      <c r="AA32" s="39">
        <v>4.4000000000000004</v>
      </c>
      <c r="AB32" s="39">
        <v>2.6</v>
      </c>
      <c r="AC32" s="39">
        <v>4</v>
      </c>
      <c r="AD32" s="39">
        <v>4.8</v>
      </c>
      <c r="AE32" s="40">
        <v>3.7</v>
      </c>
    </row>
    <row r="33" spans="1:31">
      <c r="A33" s="38" t="s">
        <v>40</v>
      </c>
      <c r="B33" s="93">
        <v>1.6</v>
      </c>
      <c r="C33" s="39">
        <v>4.4800000000000004</v>
      </c>
      <c r="D33" s="94">
        <v>1.2</v>
      </c>
      <c r="E33" s="39">
        <v>2.8</v>
      </c>
      <c r="F33" s="39">
        <v>2.4</v>
      </c>
      <c r="G33" s="39">
        <v>2.56</v>
      </c>
      <c r="H33" s="39">
        <v>2.6</v>
      </c>
      <c r="I33" s="40">
        <v>2.6</v>
      </c>
      <c r="J33" s="42">
        <v>2</v>
      </c>
      <c r="K33" s="43">
        <v>2.7</v>
      </c>
      <c r="L33" s="43">
        <v>1.8</v>
      </c>
      <c r="M33" s="43">
        <v>4.5</v>
      </c>
      <c r="N33" s="43">
        <v>3.6</v>
      </c>
      <c r="O33" s="43">
        <v>4.8</v>
      </c>
      <c r="P33" s="43">
        <v>2.8</v>
      </c>
      <c r="Q33" s="44">
        <v>3.57</v>
      </c>
      <c r="R33" s="39">
        <v>4.7</v>
      </c>
      <c r="S33" s="39">
        <v>5.0999999999999996</v>
      </c>
      <c r="T33" s="39">
        <v>9.6</v>
      </c>
      <c r="U33" s="39">
        <v>6.2</v>
      </c>
      <c r="V33" s="39">
        <v>6.6</v>
      </c>
      <c r="W33" s="40">
        <v>4.7</v>
      </c>
      <c r="X33" s="43">
        <v>5.25</v>
      </c>
      <c r="Y33" s="43">
        <v>7.7</v>
      </c>
      <c r="Z33" s="43">
        <v>8.3000000000000007</v>
      </c>
      <c r="AA33" s="43">
        <v>5.3</v>
      </c>
      <c r="AB33" s="43">
        <v>3</v>
      </c>
      <c r="AC33" s="43">
        <v>3.3</v>
      </c>
      <c r="AD33" s="43">
        <v>5.7</v>
      </c>
      <c r="AE33" s="44">
        <v>4.5999999999999996</v>
      </c>
    </row>
    <row r="34" spans="1:31" ht="19" thickBot="1">
      <c r="A34" s="3" t="s">
        <v>41</v>
      </c>
      <c r="B34" s="93">
        <v>1.2</v>
      </c>
      <c r="C34" s="39">
        <v>4.8499999999999996</v>
      </c>
      <c r="D34" s="94">
        <v>1.4</v>
      </c>
      <c r="E34" s="39">
        <v>3.2</v>
      </c>
      <c r="F34" s="39">
        <v>2.4</v>
      </c>
      <c r="G34" s="39">
        <v>2.5</v>
      </c>
      <c r="H34" s="39">
        <v>2.8</v>
      </c>
      <c r="I34" s="40">
        <v>2.8</v>
      </c>
      <c r="J34" s="41">
        <v>1.8</v>
      </c>
      <c r="K34" s="39">
        <v>2.5</v>
      </c>
      <c r="L34" s="39">
        <v>1.6</v>
      </c>
      <c r="M34" s="39">
        <v>3.8</v>
      </c>
      <c r="N34" s="39">
        <v>3.45</v>
      </c>
      <c r="O34" s="39">
        <v>4.5999999999999996</v>
      </c>
      <c r="P34" s="39">
        <v>2.4500000000000002</v>
      </c>
      <c r="Q34" s="40">
        <v>3.2</v>
      </c>
      <c r="R34" s="39">
        <v>5.3</v>
      </c>
      <c r="S34" s="39">
        <v>5.2</v>
      </c>
      <c r="T34" s="39">
        <v>9.6999999999999993</v>
      </c>
      <c r="U34" s="39">
        <v>6</v>
      </c>
      <c r="V34" s="39">
        <v>6.4</v>
      </c>
      <c r="W34" s="40">
        <v>4.9000000000000004</v>
      </c>
      <c r="X34" s="39">
        <v>4.5999999999999996</v>
      </c>
      <c r="Y34" s="39">
        <v>6.75</v>
      </c>
      <c r="Z34" s="39">
        <v>7.75</v>
      </c>
      <c r="AA34" s="39">
        <v>4.7</v>
      </c>
      <c r="AB34" s="39">
        <v>2.7</v>
      </c>
      <c r="AC34" s="39">
        <v>2.75</v>
      </c>
      <c r="AD34" s="39">
        <v>5.3</v>
      </c>
      <c r="AE34" s="40">
        <v>4.4000000000000004</v>
      </c>
    </row>
    <row r="35" spans="1:31" ht="19" thickBot="1">
      <c r="B35" s="111" t="s">
        <v>43</v>
      </c>
      <c r="C35" s="105"/>
      <c r="D35" s="105"/>
      <c r="E35" s="105"/>
      <c r="F35" s="105"/>
      <c r="G35" s="105"/>
      <c r="H35" s="105"/>
      <c r="I35" s="105"/>
      <c r="J35" s="105"/>
      <c r="K35" s="105"/>
      <c r="L35" s="105"/>
      <c r="M35" s="105"/>
      <c r="N35" s="105"/>
      <c r="O35" s="105"/>
      <c r="P35" s="105"/>
      <c r="Q35" s="106"/>
      <c r="R35" s="163" t="s">
        <v>42</v>
      </c>
      <c r="S35" s="166"/>
      <c r="T35" s="166"/>
      <c r="U35" s="166"/>
      <c r="V35" s="166"/>
      <c r="W35" s="167"/>
      <c r="X35" s="163" t="s">
        <v>44</v>
      </c>
      <c r="Y35" s="164"/>
      <c r="Z35" s="164"/>
      <c r="AA35" s="164"/>
      <c r="AB35" s="164"/>
      <c r="AC35" s="164"/>
      <c r="AD35" s="164"/>
      <c r="AE35" s="165"/>
    </row>
    <row r="36" spans="1:31">
      <c r="B36" s="93"/>
      <c r="C36" s="39"/>
      <c r="D36" s="94"/>
      <c r="E36" s="39"/>
      <c r="F36" s="39"/>
      <c r="G36" s="39"/>
      <c r="H36" s="39"/>
      <c r="I36" s="40"/>
      <c r="J36" s="41"/>
      <c r="K36" s="39"/>
      <c r="L36" s="39"/>
      <c r="M36" s="39"/>
      <c r="N36" s="39"/>
      <c r="O36" s="39"/>
      <c r="P36" s="39"/>
      <c r="Q36" s="40"/>
      <c r="R36" s="39"/>
      <c r="S36" s="39"/>
      <c r="T36" s="39"/>
      <c r="U36" s="39"/>
      <c r="V36" s="39"/>
      <c r="W36" s="40"/>
      <c r="X36" s="39"/>
      <c r="Y36" s="39"/>
      <c r="Z36" s="39"/>
      <c r="AA36" s="39"/>
      <c r="AB36" s="39"/>
      <c r="AC36" s="39"/>
      <c r="AD36" s="39"/>
      <c r="AE36" s="40"/>
    </row>
    <row r="37" spans="1:31" ht="19" thickBot="1">
      <c r="B37" s="45"/>
      <c r="C37" s="46"/>
      <c r="D37" s="46"/>
      <c r="E37" s="46"/>
      <c r="F37" s="46"/>
      <c r="G37" s="46"/>
      <c r="H37" s="46"/>
      <c r="I37" s="47"/>
      <c r="J37" s="45"/>
      <c r="K37" s="46"/>
      <c r="L37" s="46"/>
      <c r="M37" s="46"/>
      <c r="N37" s="46"/>
      <c r="O37" s="46"/>
      <c r="P37" s="46"/>
      <c r="Q37" s="47"/>
      <c r="R37" s="46"/>
      <c r="S37" s="46"/>
      <c r="T37" s="46"/>
      <c r="U37" s="46"/>
      <c r="V37" s="46"/>
      <c r="W37" s="47"/>
      <c r="X37" s="46"/>
      <c r="Y37" s="46"/>
      <c r="Z37" s="46"/>
      <c r="AA37" s="46"/>
      <c r="AB37" s="46"/>
      <c r="AC37" s="46"/>
      <c r="AD37" s="46"/>
      <c r="AE37" s="47"/>
    </row>
    <row r="38" spans="1:31">
      <c r="X38" s="39"/>
      <c r="Y38" s="39"/>
      <c r="Z38" s="39"/>
      <c r="AA38" s="39"/>
      <c r="AB38" s="39"/>
      <c r="AC38" s="39"/>
      <c r="AD38" s="39"/>
      <c r="AE38" s="39"/>
    </row>
    <row r="39" spans="1:31">
      <c r="B39" s="37"/>
      <c r="C39" s="3" t="s">
        <v>18</v>
      </c>
      <c r="X39" s="39"/>
      <c r="Y39" s="39"/>
      <c r="Z39" s="39"/>
      <c r="AA39" s="39"/>
      <c r="AB39" s="39"/>
      <c r="AC39" s="39"/>
      <c r="AD39" s="39"/>
      <c r="AE39" s="39"/>
    </row>
    <row r="41" spans="1:31">
      <c r="B41" s="35"/>
      <c r="C41" s="3" t="s">
        <v>15</v>
      </c>
    </row>
    <row r="44" spans="1:31">
      <c r="B44" s="38"/>
      <c r="C44" s="3" t="s">
        <v>25</v>
      </c>
    </row>
    <row r="45" spans="1:31" ht="19" thickBot="1"/>
    <row r="46" spans="1:31" ht="19" thickBot="1">
      <c r="A46" s="160" t="s">
        <v>19</v>
      </c>
      <c r="B46" s="111" t="s">
        <v>12</v>
      </c>
      <c r="C46" s="105"/>
      <c r="D46" s="105"/>
      <c r="E46" s="105"/>
      <c r="F46" s="105"/>
      <c r="G46" s="105"/>
      <c r="H46" s="105"/>
      <c r="I46" s="106"/>
      <c r="J46" s="105" t="s">
        <v>13</v>
      </c>
      <c r="K46" s="105"/>
      <c r="L46" s="105"/>
      <c r="M46" s="105"/>
      <c r="N46" s="105"/>
      <c r="O46" s="105"/>
      <c r="P46" s="105"/>
      <c r="Q46" s="106"/>
      <c r="R46" s="105" t="s">
        <v>14</v>
      </c>
      <c r="S46" s="105"/>
      <c r="T46" s="105"/>
      <c r="U46" s="105"/>
      <c r="V46" s="105"/>
      <c r="W46" s="106"/>
      <c r="X46" s="105" t="s">
        <v>20</v>
      </c>
      <c r="Y46" s="105"/>
      <c r="Z46" s="105"/>
      <c r="AA46" s="105"/>
      <c r="AB46" s="105"/>
      <c r="AC46" s="105"/>
      <c r="AD46" s="105"/>
      <c r="AE46" s="106"/>
    </row>
    <row r="47" spans="1:31" ht="19" thickBot="1">
      <c r="A47" s="160"/>
      <c r="B47" s="129" t="s">
        <v>10</v>
      </c>
      <c r="C47" s="130"/>
      <c r="D47" s="130"/>
      <c r="E47" s="130"/>
      <c r="F47" s="130"/>
      <c r="G47" s="130"/>
      <c r="H47" s="130"/>
      <c r="I47" s="131"/>
      <c r="J47" s="129" t="s">
        <v>16</v>
      </c>
      <c r="K47" s="130"/>
      <c r="L47" s="130"/>
      <c r="M47" s="130"/>
      <c r="N47" s="130"/>
      <c r="O47" s="130"/>
      <c r="P47" s="130"/>
      <c r="Q47" s="131"/>
      <c r="R47" s="132" t="s">
        <v>11</v>
      </c>
      <c r="S47" s="133"/>
      <c r="T47" s="133"/>
      <c r="U47" s="133"/>
      <c r="V47" s="133"/>
      <c r="W47" s="134"/>
      <c r="X47" s="135" t="s">
        <v>9</v>
      </c>
      <c r="Y47" s="136"/>
      <c r="Z47" s="136"/>
      <c r="AA47" s="136"/>
      <c r="AB47" s="136"/>
      <c r="AC47" s="136"/>
      <c r="AD47" s="136"/>
      <c r="AE47" s="137"/>
    </row>
    <row r="48" spans="1:31" ht="19">
      <c r="A48" s="12"/>
      <c r="B48" s="138">
        <v>951</v>
      </c>
      <c r="C48" s="102"/>
      <c r="D48" s="102">
        <v>3</v>
      </c>
      <c r="E48" s="102"/>
      <c r="F48" s="102">
        <v>5</v>
      </c>
      <c r="G48" s="102"/>
      <c r="H48" s="102">
        <v>78</v>
      </c>
      <c r="I48" s="103"/>
      <c r="J48" s="139">
        <v>1</v>
      </c>
      <c r="K48" s="140"/>
      <c r="L48" s="140">
        <v>4</v>
      </c>
      <c r="M48" s="140"/>
      <c r="N48" s="140">
        <v>952</v>
      </c>
      <c r="O48" s="140"/>
      <c r="P48" s="140">
        <v>962</v>
      </c>
      <c r="Q48" s="141"/>
      <c r="R48" s="142">
        <v>958</v>
      </c>
      <c r="S48" s="143"/>
      <c r="T48" s="143">
        <v>959</v>
      </c>
      <c r="U48" s="143"/>
      <c r="V48" s="143">
        <v>961</v>
      </c>
      <c r="W48" s="144"/>
      <c r="X48" s="145">
        <v>960</v>
      </c>
      <c r="Y48" s="146"/>
      <c r="Z48" s="147">
        <v>2</v>
      </c>
      <c r="AA48" s="147"/>
      <c r="AB48" s="146">
        <v>953</v>
      </c>
      <c r="AC48" s="146"/>
      <c r="AD48" s="146">
        <v>79</v>
      </c>
      <c r="AE48" s="148"/>
    </row>
    <row r="49" spans="1:31" ht="20" thickBot="1">
      <c r="A49" s="12"/>
      <c r="B49" s="54" t="s">
        <v>2</v>
      </c>
      <c r="C49" s="15" t="s">
        <v>3</v>
      </c>
      <c r="D49" s="15" t="s">
        <v>2</v>
      </c>
      <c r="E49" s="15" t="s">
        <v>3</v>
      </c>
      <c r="F49" s="15" t="s">
        <v>2</v>
      </c>
      <c r="G49" s="15" t="s">
        <v>3</v>
      </c>
      <c r="H49" s="15" t="s">
        <v>2</v>
      </c>
      <c r="I49" s="16" t="s">
        <v>3</v>
      </c>
      <c r="J49" s="90" t="s">
        <v>2</v>
      </c>
      <c r="K49" s="55" t="s">
        <v>3</v>
      </c>
      <c r="L49" s="55" t="s">
        <v>2</v>
      </c>
      <c r="M49" s="55" t="s">
        <v>3</v>
      </c>
      <c r="N49" s="55" t="s">
        <v>2</v>
      </c>
      <c r="O49" s="55" t="s">
        <v>3</v>
      </c>
      <c r="P49" s="55" t="s">
        <v>2</v>
      </c>
      <c r="Q49" s="56" t="s">
        <v>3</v>
      </c>
      <c r="R49" s="91" t="s">
        <v>2</v>
      </c>
      <c r="S49" s="57" t="s">
        <v>3</v>
      </c>
      <c r="T49" s="57" t="s">
        <v>2</v>
      </c>
      <c r="U49" s="57" t="s">
        <v>3</v>
      </c>
      <c r="V49" s="57" t="s">
        <v>2</v>
      </c>
      <c r="W49" s="58" t="s">
        <v>3</v>
      </c>
      <c r="X49" s="92" t="s">
        <v>2</v>
      </c>
      <c r="Y49" s="59" t="s">
        <v>3</v>
      </c>
      <c r="Z49" s="60" t="s">
        <v>2</v>
      </c>
      <c r="AA49" s="60" t="s">
        <v>3</v>
      </c>
      <c r="AB49" s="59" t="s">
        <v>2</v>
      </c>
      <c r="AC49" s="59" t="s">
        <v>3</v>
      </c>
      <c r="AD49" s="59" t="s">
        <v>2</v>
      </c>
      <c r="AE49" s="61" t="s">
        <v>3</v>
      </c>
    </row>
    <row r="50" spans="1:31">
      <c r="A50" s="6" t="s">
        <v>6</v>
      </c>
      <c r="B50" s="41">
        <f t="shared" ref="B50:AE50" si="0">B18-0.7</f>
        <v>1.8</v>
      </c>
      <c r="C50" s="39">
        <f t="shared" si="0"/>
        <v>5.7</v>
      </c>
      <c r="D50" s="39">
        <f t="shared" si="0"/>
        <v>2.8</v>
      </c>
      <c r="E50" s="39">
        <f t="shared" si="0"/>
        <v>4.3</v>
      </c>
      <c r="F50" s="39">
        <f t="shared" si="0"/>
        <v>3.5999999999999996</v>
      </c>
      <c r="G50" s="39">
        <f t="shared" si="0"/>
        <v>4.0999999999999996</v>
      </c>
      <c r="H50" s="39">
        <f t="shared" si="0"/>
        <v>3.2</v>
      </c>
      <c r="I50" s="40">
        <f t="shared" si="0"/>
        <v>3.7</v>
      </c>
      <c r="J50" s="41">
        <f t="shared" si="0"/>
        <v>2.2000000000000002</v>
      </c>
      <c r="K50" s="39">
        <f t="shared" si="0"/>
        <v>3.8</v>
      </c>
      <c r="L50" s="39">
        <f t="shared" si="0"/>
        <v>1.7</v>
      </c>
      <c r="M50" s="39">
        <f t="shared" si="0"/>
        <v>5.3999999999999995</v>
      </c>
      <c r="N50" s="39">
        <f t="shared" si="0"/>
        <v>3</v>
      </c>
      <c r="O50" s="39">
        <f t="shared" si="0"/>
        <v>3</v>
      </c>
      <c r="P50" s="39">
        <f t="shared" si="0"/>
        <v>2.7</v>
      </c>
      <c r="Q50" s="40">
        <f t="shared" si="0"/>
        <v>4</v>
      </c>
      <c r="R50" s="41">
        <f t="shared" si="0"/>
        <v>4.8999999999999995</v>
      </c>
      <c r="S50" s="39">
        <f t="shared" si="0"/>
        <v>4.3999999999999995</v>
      </c>
      <c r="T50" s="39">
        <f t="shared" si="0"/>
        <v>6.1</v>
      </c>
      <c r="U50" s="39">
        <f t="shared" si="0"/>
        <v>4.8999999999999995</v>
      </c>
      <c r="V50" s="39">
        <f t="shared" si="0"/>
        <v>5</v>
      </c>
      <c r="W50" s="40">
        <f t="shared" si="0"/>
        <v>3.2</v>
      </c>
      <c r="X50" s="41">
        <f t="shared" si="0"/>
        <v>3.8</v>
      </c>
      <c r="Y50" s="39">
        <f t="shared" si="0"/>
        <v>5.5</v>
      </c>
      <c r="Z50" s="39">
        <f t="shared" si="0"/>
        <v>4.5</v>
      </c>
      <c r="AA50" s="39">
        <f t="shared" si="0"/>
        <v>3.5</v>
      </c>
      <c r="AB50" s="39">
        <f t="shared" si="0"/>
        <v>2.9000000000000004</v>
      </c>
      <c r="AC50" s="39">
        <f t="shared" si="0"/>
        <v>4.3999999999999995</v>
      </c>
      <c r="AD50" s="39">
        <f t="shared" si="0"/>
        <v>4.8999999999999995</v>
      </c>
      <c r="AE50" s="40">
        <f t="shared" si="0"/>
        <v>3.8</v>
      </c>
    </row>
    <row r="51" spans="1:31">
      <c r="A51" s="3" t="s">
        <v>17</v>
      </c>
      <c r="B51" s="41">
        <f t="shared" ref="B51:AE51" si="1">B19-0.7</f>
        <v>1.8</v>
      </c>
      <c r="C51" s="39">
        <f t="shared" si="1"/>
        <v>3.7</v>
      </c>
      <c r="D51" s="39">
        <f t="shared" si="1"/>
        <v>1.7</v>
      </c>
      <c r="E51" s="39">
        <f t="shared" si="1"/>
        <v>2.4000000000000004</v>
      </c>
      <c r="F51" s="39">
        <f t="shared" si="1"/>
        <v>2.5</v>
      </c>
      <c r="G51" s="39">
        <f t="shared" si="1"/>
        <v>2.5999999999999996</v>
      </c>
      <c r="H51" s="39">
        <f t="shared" si="1"/>
        <v>2.0999999999999996</v>
      </c>
      <c r="I51" s="40">
        <f t="shared" si="1"/>
        <v>2</v>
      </c>
      <c r="J51" s="41">
        <f t="shared" si="1"/>
        <v>1.3</v>
      </c>
      <c r="K51" s="39">
        <f t="shared" si="1"/>
        <v>2.8</v>
      </c>
      <c r="L51" s="39">
        <f t="shared" si="1"/>
        <v>1.7</v>
      </c>
      <c r="M51" s="39">
        <f t="shared" si="1"/>
        <v>3</v>
      </c>
      <c r="N51" s="39">
        <f t="shared" si="1"/>
        <v>2.0999999999999996</v>
      </c>
      <c r="O51" s="39">
        <f t="shared" si="1"/>
        <v>1.9000000000000001</v>
      </c>
      <c r="P51" s="39">
        <f t="shared" si="1"/>
        <v>1.8</v>
      </c>
      <c r="Q51" s="40">
        <f t="shared" si="1"/>
        <v>2.5</v>
      </c>
      <c r="R51" s="41">
        <f t="shared" si="1"/>
        <v>4.0999999999999996</v>
      </c>
      <c r="S51" s="39">
        <f t="shared" si="1"/>
        <v>3.8</v>
      </c>
      <c r="T51" s="39">
        <f t="shared" si="1"/>
        <v>4.8999999999999995</v>
      </c>
      <c r="U51" s="39">
        <f t="shared" si="1"/>
        <v>4</v>
      </c>
      <c r="V51" s="39">
        <f t="shared" si="1"/>
        <v>3.5999999999999996</v>
      </c>
      <c r="W51" s="40">
        <f t="shared" si="1"/>
        <v>2.9000000000000004</v>
      </c>
      <c r="X51" s="41">
        <f t="shared" si="1"/>
        <v>2.7</v>
      </c>
      <c r="Y51" s="39">
        <f t="shared" si="1"/>
        <v>3.5</v>
      </c>
      <c r="Z51" s="39">
        <f t="shared" si="1"/>
        <v>3</v>
      </c>
      <c r="AA51" s="39">
        <f t="shared" si="1"/>
        <v>2.2999999999999998</v>
      </c>
      <c r="AB51" s="39">
        <f t="shared" si="1"/>
        <v>1.9000000000000001</v>
      </c>
      <c r="AC51" s="39">
        <f t="shared" si="1"/>
        <v>2.0999999999999996</v>
      </c>
      <c r="AD51" s="39">
        <f t="shared" si="1"/>
        <v>3.3999999999999995</v>
      </c>
      <c r="AE51" s="40">
        <f t="shared" si="1"/>
        <v>2.4000000000000004</v>
      </c>
    </row>
    <row r="52" spans="1:31">
      <c r="A52" s="3" t="s">
        <v>23</v>
      </c>
      <c r="B52" s="41">
        <f t="shared" ref="B52:AE52" si="2">B20-0.7</f>
        <v>1.1000000000000001</v>
      </c>
      <c r="C52" s="39">
        <f t="shared" si="2"/>
        <v>3.3999999999999995</v>
      </c>
      <c r="D52" s="39">
        <f t="shared" si="2"/>
        <v>1.5000000000000002</v>
      </c>
      <c r="E52" s="39">
        <f t="shared" si="2"/>
        <v>2.9000000000000004</v>
      </c>
      <c r="F52" s="39">
        <f t="shared" si="2"/>
        <v>2.0999999999999996</v>
      </c>
      <c r="G52" s="39">
        <f t="shared" si="2"/>
        <v>2.2000000000000002</v>
      </c>
      <c r="H52" s="39">
        <f t="shared" si="2"/>
        <v>2.0999999999999996</v>
      </c>
      <c r="I52" s="40">
        <f t="shared" si="2"/>
        <v>2.2000000000000002</v>
      </c>
      <c r="J52" s="41">
        <f t="shared" si="2"/>
        <v>1.5999999999999999</v>
      </c>
      <c r="K52" s="39">
        <f t="shared" si="2"/>
        <v>2.8</v>
      </c>
      <c r="L52" s="39">
        <f t="shared" si="2"/>
        <v>1.5000000000000002</v>
      </c>
      <c r="M52" s="39">
        <f t="shared" si="2"/>
        <v>3.3</v>
      </c>
      <c r="N52" s="39">
        <f t="shared" si="2"/>
        <v>2</v>
      </c>
      <c r="O52" s="39">
        <f t="shared" si="2"/>
        <v>3</v>
      </c>
      <c r="P52" s="39">
        <f t="shared" si="2"/>
        <v>2.5</v>
      </c>
      <c r="Q52" s="40">
        <f t="shared" si="2"/>
        <v>2.7</v>
      </c>
      <c r="R52" s="41">
        <f t="shared" si="2"/>
        <v>3.5</v>
      </c>
      <c r="S52" s="39">
        <f t="shared" si="2"/>
        <v>3.5</v>
      </c>
      <c r="T52" s="39">
        <f t="shared" si="2"/>
        <v>4.7</v>
      </c>
      <c r="U52" s="39">
        <f t="shared" si="2"/>
        <v>3.7</v>
      </c>
      <c r="V52" s="39">
        <f t="shared" si="2"/>
        <v>3.5999999999999996</v>
      </c>
      <c r="W52" s="40">
        <f t="shared" si="2"/>
        <v>2.5999999999999996</v>
      </c>
      <c r="X52" s="41">
        <f t="shared" si="2"/>
        <v>3.3999999999999995</v>
      </c>
      <c r="Y52" s="39">
        <f t="shared" si="2"/>
        <v>4.2</v>
      </c>
      <c r="Z52" s="39">
        <f t="shared" si="2"/>
        <v>3.7</v>
      </c>
      <c r="AA52" s="39">
        <f t="shared" si="2"/>
        <v>3.0999999999999996</v>
      </c>
      <c r="AB52" s="39">
        <f t="shared" si="2"/>
        <v>2.2000000000000002</v>
      </c>
      <c r="AC52" s="39">
        <f t="shared" si="2"/>
        <v>4.2</v>
      </c>
      <c r="AD52" s="39">
        <f t="shared" si="2"/>
        <v>4.3</v>
      </c>
      <c r="AE52" s="40">
        <f t="shared" si="2"/>
        <v>3.2</v>
      </c>
    </row>
    <row r="53" spans="1:31">
      <c r="A53" s="3" t="s">
        <v>24</v>
      </c>
      <c r="B53" s="41">
        <f t="shared" ref="B53:AE53" si="3">B21-0.7</f>
        <v>1</v>
      </c>
      <c r="C53" s="39">
        <f t="shared" si="3"/>
        <v>2.7</v>
      </c>
      <c r="D53" s="39">
        <f t="shared" si="3"/>
        <v>1.5999999999999999</v>
      </c>
      <c r="E53" s="39">
        <f t="shared" si="3"/>
        <v>1.9000000000000001</v>
      </c>
      <c r="F53" s="39">
        <f t="shared" si="3"/>
        <v>1.8</v>
      </c>
      <c r="G53" s="39">
        <f t="shared" si="3"/>
        <v>1.9000000000000001</v>
      </c>
      <c r="H53" s="39">
        <f t="shared" si="3"/>
        <v>1.7</v>
      </c>
      <c r="I53" s="40">
        <f t="shared" si="3"/>
        <v>2</v>
      </c>
      <c r="J53" s="41">
        <f t="shared" si="3"/>
        <v>1.3</v>
      </c>
      <c r="K53" s="39">
        <f t="shared" si="3"/>
        <v>2.5</v>
      </c>
      <c r="L53" s="39">
        <f t="shared" si="3"/>
        <v>1.1000000000000001</v>
      </c>
      <c r="M53" s="39">
        <f t="shared" si="3"/>
        <v>2.7</v>
      </c>
      <c r="N53" s="39">
        <f t="shared" si="3"/>
        <v>2.2000000000000002</v>
      </c>
      <c r="O53" s="39">
        <f t="shared" si="3"/>
        <v>2.5</v>
      </c>
      <c r="P53" s="39">
        <f t="shared" si="3"/>
        <v>1.9000000000000001</v>
      </c>
      <c r="Q53" s="40">
        <f t="shared" si="3"/>
        <v>2.8</v>
      </c>
      <c r="R53" s="41">
        <f t="shared" si="3"/>
        <v>3.3</v>
      </c>
      <c r="S53" s="39">
        <f t="shared" si="3"/>
        <v>3.8999999999999995</v>
      </c>
      <c r="T53" s="39">
        <f t="shared" si="3"/>
        <v>4.7</v>
      </c>
      <c r="U53" s="39">
        <f t="shared" si="3"/>
        <v>3.8999999999999995</v>
      </c>
      <c r="V53" s="39">
        <f t="shared" si="3"/>
        <v>3.5999999999999996</v>
      </c>
      <c r="W53" s="40">
        <f t="shared" si="3"/>
        <v>2.7</v>
      </c>
      <c r="X53" s="41">
        <f t="shared" si="3"/>
        <v>3</v>
      </c>
      <c r="Y53" s="39">
        <f t="shared" si="3"/>
        <v>3.8999999999999995</v>
      </c>
      <c r="Z53" s="39">
        <f t="shared" si="3"/>
        <v>3.3</v>
      </c>
      <c r="AA53" s="39">
        <f t="shared" si="3"/>
        <v>2.7</v>
      </c>
      <c r="AB53" s="39">
        <f t="shared" si="3"/>
        <v>1.8</v>
      </c>
      <c r="AC53" s="39">
        <f t="shared" si="3"/>
        <v>2.0999999999999996</v>
      </c>
      <c r="AD53" s="39">
        <f t="shared" si="3"/>
        <v>3.5999999999999996</v>
      </c>
      <c r="AE53" s="40">
        <f t="shared" si="3"/>
        <v>2.7</v>
      </c>
    </row>
    <row r="54" spans="1:31">
      <c r="A54" s="3" t="s">
        <v>26</v>
      </c>
      <c r="B54" s="41">
        <f t="shared" ref="B54:AE54" si="4">B22-0.7</f>
        <v>1</v>
      </c>
      <c r="C54" s="39">
        <f t="shared" si="4"/>
        <v>2.9000000000000004</v>
      </c>
      <c r="D54" s="39">
        <f t="shared" si="4"/>
        <v>1.3</v>
      </c>
      <c r="E54" s="39">
        <f t="shared" si="4"/>
        <v>2</v>
      </c>
      <c r="F54" s="39">
        <f t="shared" si="4"/>
        <v>1.7</v>
      </c>
      <c r="G54" s="39">
        <f t="shared" si="4"/>
        <v>1.9000000000000001</v>
      </c>
      <c r="H54" s="39">
        <f t="shared" si="4"/>
        <v>1.5999999999999999</v>
      </c>
      <c r="I54" s="40">
        <f t="shared" si="4"/>
        <v>1.7</v>
      </c>
      <c r="J54" s="41">
        <f t="shared" si="4"/>
        <v>1.7</v>
      </c>
      <c r="K54" s="39">
        <f t="shared" si="4"/>
        <v>2.4000000000000004</v>
      </c>
      <c r="L54" s="39">
        <f t="shared" si="4"/>
        <v>1.2</v>
      </c>
      <c r="M54" s="39">
        <f t="shared" si="4"/>
        <v>3.0999999999999996</v>
      </c>
      <c r="N54" s="39">
        <f t="shared" si="4"/>
        <v>2.2000000000000002</v>
      </c>
      <c r="O54" s="39">
        <f t="shared" si="4"/>
        <v>2.5</v>
      </c>
      <c r="P54" s="39">
        <f t="shared" si="4"/>
        <v>2.2999999999999998</v>
      </c>
      <c r="Q54" s="40">
        <f t="shared" si="4"/>
        <v>2.9000000000000004</v>
      </c>
      <c r="R54" s="41">
        <f t="shared" si="4"/>
        <v>3.3</v>
      </c>
      <c r="S54" s="39">
        <f t="shared" si="4"/>
        <v>3.55</v>
      </c>
      <c r="T54" s="39">
        <f t="shared" si="4"/>
        <v>5</v>
      </c>
      <c r="U54" s="39">
        <f t="shared" si="4"/>
        <v>4</v>
      </c>
      <c r="V54" s="39">
        <f t="shared" si="4"/>
        <v>3.5</v>
      </c>
      <c r="W54" s="40">
        <f t="shared" si="4"/>
        <v>2.5</v>
      </c>
      <c r="X54" s="41">
        <f t="shared" si="4"/>
        <v>3.7</v>
      </c>
      <c r="Y54" s="39">
        <f t="shared" si="4"/>
        <v>4.7</v>
      </c>
      <c r="Z54" s="39">
        <f t="shared" si="4"/>
        <v>4.0999999999999996</v>
      </c>
      <c r="AA54" s="39">
        <f t="shared" si="4"/>
        <v>3.3</v>
      </c>
      <c r="AB54" s="39">
        <f t="shared" si="4"/>
        <v>2.2000000000000002</v>
      </c>
      <c r="AC54" s="39">
        <f t="shared" si="4"/>
        <v>3.0999999999999996</v>
      </c>
      <c r="AD54" s="39">
        <f t="shared" si="4"/>
        <v>4.3</v>
      </c>
      <c r="AE54" s="40">
        <f t="shared" si="4"/>
        <v>3.3999999999999995</v>
      </c>
    </row>
    <row r="55" spans="1:31">
      <c r="A55" s="3" t="s">
        <v>27</v>
      </c>
      <c r="B55" s="41">
        <f t="shared" ref="B55:AE55" si="5">B23-0.7</f>
        <v>0.90000000000000013</v>
      </c>
      <c r="C55" s="39">
        <f t="shared" si="5"/>
        <v>2.9000000000000004</v>
      </c>
      <c r="D55" s="39">
        <f t="shared" si="5"/>
        <v>1</v>
      </c>
      <c r="E55" s="39">
        <f t="shared" si="5"/>
        <v>2</v>
      </c>
      <c r="F55" s="39">
        <f t="shared" si="5"/>
        <v>1.5000000000000002</v>
      </c>
      <c r="G55" s="39">
        <f t="shared" si="5"/>
        <v>1.9000000000000001</v>
      </c>
      <c r="H55" s="39">
        <f t="shared" si="5"/>
        <v>1.5999999999999999</v>
      </c>
      <c r="I55" s="40">
        <f t="shared" si="5"/>
        <v>1.8</v>
      </c>
      <c r="J55" s="41">
        <f t="shared" si="5"/>
        <v>1.2</v>
      </c>
      <c r="K55" s="39">
        <f t="shared" si="5"/>
        <v>2.2999999999999998</v>
      </c>
      <c r="L55" s="39">
        <f t="shared" si="5"/>
        <v>1.3</v>
      </c>
      <c r="M55" s="39">
        <f t="shared" si="5"/>
        <v>2.5999999999999996</v>
      </c>
      <c r="N55" s="39">
        <f t="shared" si="5"/>
        <v>2.0999999999999996</v>
      </c>
      <c r="O55" s="39">
        <f t="shared" si="5"/>
        <v>2.2999999999999998</v>
      </c>
      <c r="P55" s="39">
        <f t="shared" si="5"/>
        <v>1.9000000000000001</v>
      </c>
      <c r="Q55" s="40">
        <f t="shared" si="5"/>
        <v>2.5</v>
      </c>
      <c r="R55" s="41">
        <f t="shared" si="5"/>
        <v>3.5</v>
      </c>
      <c r="S55" s="39">
        <f t="shared" si="5"/>
        <v>3.5</v>
      </c>
      <c r="T55" s="39">
        <f t="shared" si="5"/>
        <v>4.8</v>
      </c>
      <c r="U55" s="39">
        <f t="shared" si="5"/>
        <v>3.8999999999999995</v>
      </c>
      <c r="V55" s="39">
        <f t="shared" si="5"/>
        <v>3.5999999999999996</v>
      </c>
      <c r="W55" s="40">
        <f t="shared" si="5"/>
        <v>2.5999999999999996</v>
      </c>
      <c r="X55" s="41">
        <f t="shared" si="5"/>
        <v>3</v>
      </c>
      <c r="Y55" s="39">
        <f t="shared" si="5"/>
        <v>4</v>
      </c>
      <c r="Z55" s="39">
        <f t="shared" si="5"/>
        <v>3.5999999999999996</v>
      </c>
      <c r="AA55" s="39">
        <f t="shared" si="5"/>
        <v>2.75</v>
      </c>
      <c r="AB55" s="39">
        <f t="shared" si="5"/>
        <v>1.9000000000000001</v>
      </c>
      <c r="AC55" s="39">
        <f t="shared" si="5"/>
        <v>3.8999999999999995</v>
      </c>
      <c r="AD55" s="39">
        <f t="shared" si="5"/>
        <v>3.5999999999999996</v>
      </c>
      <c r="AE55" s="40">
        <f t="shared" si="5"/>
        <v>2.9000000000000004</v>
      </c>
    </row>
    <row r="56" spans="1:31">
      <c r="A56" s="3" t="s">
        <v>28</v>
      </c>
      <c r="B56" s="41">
        <f t="shared" ref="B56:AE56" si="6">B24-0.7</f>
        <v>1.1000000000000001</v>
      </c>
      <c r="C56" s="39">
        <f t="shared" si="6"/>
        <v>2.7</v>
      </c>
      <c r="D56" s="39">
        <f t="shared" si="6"/>
        <v>1.2</v>
      </c>
      <c r="E56" s="39">
        <f t="shared" si="6"/>
        <v>1.9000000000000001</v>
      </c>
      <c r="F56" s="39">
        <f t="shared" si="6"/>
        <v>1.5999999999999999</v>
      </c>
      <c r="G56" s="39">
        <f t="shared" si="6"/>
        <v>2.0499999999999998</v>
      </c>
      <c r="H56" s="39">
        <f t="shared" si="6"/>
        <v>1.5000000000000002</v>
      </c>
      <c r="I56" s="40">
        <f t="shared" si="6"/>
        <v>1.7500000000000002</v>
      </c>
      <c r="J56" s="41">
        <f t="shared" si="6"/>
        <v>1.3</v>
      </c>
      <c r="K56" s="39">
        <f t="shared" si="6"/>
        <v>2.4000000000000004</v>
      </c>
      <c r="L56" s="39">
        <f t="shared" si="6"/>
        <v>1.55</v>
      </c>
      <c r="M56" s="39">
        <f t="shared" si="6"/>
        <v>2.9000000000000004</v>
      </c>
      <c r="N56" s="39">
        <f t="shared" si="6"/>
        <v>2.2000000000000002</v>
      </c>
      <c r="O56" s="39">
        <f t="shared" si="6"/>
        <v>2.5</v>
      </c>
      <c r="P56" s="39">
        <f t="shared" si="6"/>
        <v>1.7</v>
      </c>
      <c r="Q56" s="40">
        <f t="shared" si="6"/>
        <v>2.5999999999999996</v>
      </c>
      <c r="R56" s="41">
        <f t="shared" si="6"/>
        <v>3.5999999999999996</v>
      </c>
      <c r="S56" s="39">
        <f t="shared" si="6"/>
        <v>3.3999999999999995</v>
      </c>
      <c r="T56" s="39">
        <f t="shared" si="6"/>
        <v>5.3999999999999995</v>
      </c>
      <c r="U56" s="39">
        <f t="shared" si="6"/>
        <v>4</v>
      </c>
      <c r="V56" s="39">
        <f t="shared" si="6"/>
        <v>3.7</v>
      </c>
      <c r="W56" s="40">
        <f t="shared" si="6"/>
        <v>2.5499999999999998</v>
      </c>
      <c r="X56" s="41">
        <f t="shared" si="6"/>
        <v>3.0999999999999996</v>
      </c>
      <c r="Y56" s="39">
        <f t="shared" si="6"/>
        <v>4</v>
      </c>
      <c r="Z56" s="39">
        <f t="shared" si="6"/>
        <v>3.5</v>
      </c>
      <c r="AA56" s="39">
        <f t="shared" si="6"/>
        <v>2.8</v>
      </c>
      <c r="AB56" s="39">
        <f t="shared" si="6"/>
        <v>2.0499999999999998</v>
      </c>
      <c r="AC56" s="39">
        <f t="shared" si="6"/>
        <v>4.0999999999999996</v>
      </c>
      <c r="AD56" s="39">
        <f t="shared" si="6"/>
        <v>3.8</v>
      </c>
      <c r="AE56" s="40">
        <f t="shared" si="6"/>
        <v>3</v>
      </c>
    </row>
    <row r="57" spans="1:31">
      <c r="A57" s="3" t="s">
        <v>29</v>
      </c>
      <c r="B57" s="41">
        <f t="shared" ref="B57:AE57" si="7">B25-0.7</f>
        <v>0.90000000000000013</v>
      </c>
      <c r="C57" s="39">
        <f t="shared" si="7"/>
        <v>2.5999999999999996</v>
      </c>
      <c r="D57" s="39">
        <f t="shared" si="7"/>
        <v>0.90000000000000013</v>
      </c>
      <c r="E57" s="39">
        <f t="shared" si="7"/>
        <v>1.7</v>
      </c>
      <c r="F57" s="39">
        <f t="shared" si="7"/>
        <v>1.5999999999999999</v>
      </c>
      <c r="G57" s="39">
        <f t="shared" si="7"/>
        <v>1.5999999999999999</v>
      </c>
      <c r="H57" s="39">
        <f t="shared" si="7"/>
        <v>1.3</v>
      </c>
      <c r="I57" s="40">
        <f t="shared" si="7"/>
        <v>1.4000000000000001</v>
      </c>
      <c r="J57" s="41">
        <f t="shared" si="7"/>
        <v>1.3</v>
      </c>
      <c r="K57" s="39">
        <f t="shared" si="7"/>
        <v>2.4000000000000004</v>
      </c>
      <c r="L57" s="39">
        <f t="shared" si="7"/>
        <v>1.1000000000000001</v>
      </c>
      <c r="M57" s="39">
        <f t="shared" si="7"/>
        <v>2.9000000000000004</v>
      </c>
      <c r="N57" s="39">
        <f t="shared" si="7"/>
        <v>2.2599999999999998</v>
      </c>
      <c r="O57" s="39">
        <f t="shared" si="7"/>
        <v>2.5</v>
      </c>
      <c r="P57" s="39">
        <f t="shared" si="7"/>
        <v>2.0999999999999996</v>
      </c>
      <c r="Q57" s="40">
        <f t="shared" si="7"/>
        <v>2.5</v>
      </c>
      <c r="R57" s="41">
        <f t="shared" si="7"/>
        <v>3.0599999999999996</v>
      </c>
      <c r="S57" s="39">
        <f t="shared" si="7"/>
        <v>3.3</v>
      </c>
      <c r="T57" s="39">
        <f t="shared" si="7"/>
        <v>4.5</v>
      </c>
      <c r="U57" s="39">
        <f t="shared" si="7"/>
        <v>3.8999999999999995</v>
      </c>
      <c r="V57" s="39">
        <f t="shared" si="7"/>
        <v>3.5999999999999996</v>
      </c>
      <c r="W57" s="40">
        <f t="shared" si="7"/>
        <v>2.2999999999999998</v>
      </c>
      <c r="X57" s="41">
        <f t="shared" si="7"/>
        <v>3.5999999999999996</v>
      </c>
      <c r="Y57" s="39">
        <f t="shared" si="7"/>
        <v>4.5999999999999996</v>
      </c>
      <c r="Z57" s="39">
        <f t="shared" si="7"/>
        <v>4.2</v>
      </c>
      <c r="AA57" s="39">
        <f t="shared" si="7"/>
        <v>3.3999999999999995</v>
      </c>
      <c r="AB57" s="39">
        <f t="shared" si="7"/>
        <v>2.0999999999999996</v>
      </c>
      <c r="AC57" s="39">
        <f t="shared" si="7"/>
        <v>2.2999999999999998</v>
      </c>
      <c r="AD57" s="39">
        <f t="shared" si="7"/>
        <v>4.2</v>
      </c>
      <c r="AE57" s="40">
        <f t="shared" si="7"/>
        <v>3.2</v>
      </c>
    </row>
    <row r="58" spans="1:31" s="84" customFormat="1">
      <c r="A58" s="3" t="s">
        <v>30</v>
      </c>
      <c r="B58" s="41">
        <f t="shared" ref="B58:AE58" si="8">B26-0.7</f>
        <v>0.90000000000000013</v>
      </c>
      <c r="C58" s="39">
        <f t="shared" si="8"/>
        <v>2.5</v>
      </c>
      <c r="D58" s="39">
        <f t="shared" si="8"/>
        <v>0.90000000000000013</v>
      </c>
      <c r="E58" s="39">
        <f t="shared" si="8"/>
        <v>1.7</v>
      </c>
      <c r="F58" s="39">
        <f t="shared" si="8"/>
        <v>1.4000000000000001</v>
      </c>
      <c r="G58" s="39">
        <f t="shared" si="8"/>
        <v>1.5999999999999999</v>
      </c>
      <c r="H58" s="39">
        <f t="shared" si="8"/>
        <v>1.2</v>
      </c>
      <c r="I58" s="40">
        <f t="shared" si="8"/>
        <v>1.3</v>
      </c>
      <c r="J58" s="41">
        <f t="shared" si="8"/>
        <v>0.90000000000000013</v>
      </c>
      <c r="K58" s="39">
        <f t="shared" si="8"/>
        <v>1.8</v>
      </c>
      <c r="L58" s="39">
        <f t="shared" si="8"/>
        <v>0.90000000000000013</v>
      </c>
      <c r="M58" s="39">
        <f t="shared" si="8"/>
        <v>2.5</v>
      </c>
      <c r="N58" s="39">
        <f t="shared" si="8"/>
        <v>2</v>
      </c>
      <c r="O58" s="39">
        <f t="shared" si="8"/>
        <v>2.5</v>
      </c>
      <c r="P58" s="39">
        <f t="shared" si="8"/>
        <v>1.8</v>
      </c>
      <c r="Q58" s="40">
        <f t="shared" si="8"/>
        <v>2.5</v>
      </c>
      <c r="R58" s="41">
        <f t="shared" si="8"/>
        <v>3.2</v>
      </c>
      <c r="S58" s="39">
        <f t="shared" si="8"/>
        <v>3.0999999999999996</v>
      </c>
      <c r="T58" s="39">
        <f t="shared" si="8"/>
        <v>5.3999999999999995</v>
      </c>
      <c r="U58" s="39">
        <f t="shared" si="8"/>
        <v>4.3</v>
      </c>
      <c r="V58" s="39">
        <f t="shared" si="8"/>
        <v>3.5999999999999996</v>
      </c>
      <c r="W58" s="40">
        <f t="shared" si="8"/>
        <v>2.2999999999999998</v>
      </c>
      <c r="X58" s="41">
        <f t="shared" si="8"/>
        <v>3.3</v>
      </c>
      <c r="Y58" s="39">
        <f t="shared" si="8"/>
        <v>4.3999999999999995</v>
      </c>
      <c r="Z58" s="39">
        <f t="shared" si="8"/>
        <v>3.8999999999999995</v>
      </c>
      <c r="AA58" s="39">
        <f t="shared" si="8"/>
        <v>2.9000000000000004</v>
      </c>
      <c r="AB58" s="39">
        <f t="shared" si="8"/>
        <v>1.7</v>
      </c>
      <c r="AC58" s="39">
        <f t="shared" si="8"/>
        <v>2</v>
      </c>
      <c r="AD58" s="39">
        <f t="shared" si="8"/>
        <v>3.5999999999999996</v>
      </c>
      <c r="AE58" s="40">
        <f t="shared" si="8"/>
        <v>2.8</v>
      </c>
    </row>
    <row r="59" spans="1:31">
      <c r="A59" s="3" t="s">
        <v>33</v>
      </c>
      <c r="B59" s="41">
        <f t="shared" ref="B59:AE59" si="9">B27-0.7</f>
        <v>0.90000000000000013</v>
      </c>
      <c r="C59" s="39">
        <f t="shared" si="9"/>
        <v>2.2999999999999998</v>
      </c>
      <c r="D59" s="39">
        <f t="shared" si="9"/>
        <v>0.90000000000000013</v>
      </c>
      <c r="E59" s="39">
        <f t="shared" si="9"/>
        <v>1.5999999999999999</v>
      </c>
      <c r="F59" s="39">
        <f t="shared" si="9"/>
        <v>1.5000000000000002</v>
      </c>
      <c r="G59" s="39">
        <f t="shared" si="9"/>
        <v>1.4000000000000001</v>
      </c>
      <c r="H59" s="39">
        <f t="shared" si="9"/>
        <v>1.4000000000000001</v>
      </c>
      <c r="I59" s="40">
        <f t="shared" si="9"/>
        <v>1.5000000000000002</v>
      </c>
      <c r="J59" s="41">
        <f t="shared" si="9"/>
        <v>1.5000000000000002</v>
      </c>
      <c r="K59" s="39">
        <f t="shared" si="9"/>
        <v>2.0999999999999996</v>
      </c>
      <c r="L59" s="39">
        <f t="shared" si="9"/>
        <v>1.1000000000000001</v>
      </c>
      <c r="M59" s="39">
        <f t="shared" si="9"/>
        <v>2.9000000000000004</v>
      </c>
      <c r="N59" s="39">
        <f t="shared" si="9"/>
        <v>2.4000000000000004</v>
      </c>
      <c r="O59" s="39">
        <f t="shared" si="9"/>
        <v>2.9000000000000004</v>
      </c>
      <c r="P59" s="39">
        <f t="shared" si="9"/>
        <v>2</v>
      </c>
      <c r="Q59" s="40">
        <f t="shared" si="9"/>
        <v>2.8</v>
      </c>
      <c r="R59" s="41">
        <f t="shared" si="9"/>
        <v>2.95</v>
      </c>
      <c r="S59" s="39">
        <f t="shared" si="9"/>
        <v>2.9699999999999998</v>
      </c>
      <c r="T59" s="39">
        <f t="shared" si="9"/>
        <v>5.3999999999999995</v>
      </c>
      <c r="U59" s="39">
        <f t="shared" si="9"/>
        <v>4.0999999999999996</v>
      </c>
      <c r="V59" s="39">
        <f t="shared" si="9"/>
        <v>3.8999999999999995</v>
      </c>
      <c r="W59" s="40">
        <f t="shared" si="9"/>
        <v>2.4000000000000004</v>
      </c>
      <c r="X59" s="41">
        <f t="shared" si="9"/>
        <v>4</v>
      </c>
      <c r="Y59" s="39">
        <f t="shared" si="9"/>
        <v>5.2</v>
      </c>
      <c r="Z59" s="39">
        <f t="shared" si="9"/>
        <v>5.2</v>
      </c>
      <c r="AA59" s="39">
        <f t="shared" si="9"/>
        <v>3.5</v>
      </c>
      <c r="AB59" s="39">
        <f t="shared" si="9"/>
        <v>2</v>
      </c>
      <c r="AC59" s="39">
        <f t="shared" si="9"/>
        <v>3.3</v>
      </c>
      <c r="AD59" s="39">
        <f t="shared" si="9"/>
        <v>4.3999999999999995</v>
      </c>
      <c r="AE59" s="40">
        <f t="shared" si="9"/>
        <v>3.8</v>
      </c>
    </row>
    <row r="60" spans="1:31">
      <c r="A60" s="3" t="s">
        <v>35</v>
      </c>
      <c r="B60" s="41">
        <f t="shared" ref="B60:AE60" si="10">B28-0.7</f>
        <v>0.90000000000000013</v>
      </c>
      <c r="C60" s="39">
        <f t="shared" si="10"/>
        <v>2.2999999999999998</v>
      </c>
      <c r="D60" s="39">
        <f t="shared" si="10"/>
        <v>0.5</v>
      </c>
      <c r="E60" s="39">
        <f t="shared" si="10"/>
        <v>1.7</v>
      </c>
      <c r="F60" s="39">
        <f t="shared" si="10"/>
        <v>1.3</v>
      </c>
      <c r="G60" s="39">
        <f t="shared" si="10"/>
        <v>1.5000000000000002</v>
      </c>
      <c r="H60" s="39">
        <f t="shared" si="10"/>
        <v>1.2</v>
      </c>
      <c r="I60" s="40">
        <f t="shared" si="10"/>
        <v>1.2</v>
      </c>
      <c r="J60" s="41">
        <f t="shared" si="10"/>
        <v>1.1000000000000001</v>
      </c>
      <c r="K60" s="39">
        <f t="shared" si="10"/>
        <v>1.8</v>
      </c>
      <c r="L60" s="39">
        <f t="shared" si="10"/>
        <v>0.90000000000000013</v>
      </c>
      <c r="M60" s="39">
        <f t="shared" si="10"/>
        <v>2.7</v>
      </c>
      <c r="N60" s="39">
        <f t="shared" si="10"/>
        <v>1.8</v>
      </c>
      <c r="O60" s="39">
        <f t="shared" si="10"/>
        <v>2.4000000000000004</v>
      </c>
      <c r="P60" s="39">
        <f t="shared" si="10"/>
        <v>1.4000000000000001</v>
      </c>
      <c r="Q60" s="40">
        <f t="shared" si="10"/>
        <v>2.0999999999999996</v>
      </c>
      <c r="R60" s="41">
        <f t="shared" si="10"/>
        <v>3.8</v>
      </c>
      <c r="S60" s="39">
        <f t="shared" si="10"/>
        <v>3.3999999999999995</v>
      </c>
      <c r="T60" s="39">
        <f t="shared" si="10"/>
        <v>6</v>
      </c>
      <c r="U60" s="39">
        <f t="shared" si="10"/>
        <v>4.3</v>
      </c>
      <c r="V60" s="39">
        <f t="shared" si="10"/>
        <v>4.0999999999999996</v>
      </c>
      <c r="W60" s="40">
        <f t="shared" si="10"/>
        <v>2.7</v>
      </c>
      <c r="X60" s="41">
        <f t="shared" si="10"/>
        <v>3.8</v>
      </c>
      <c r="Y60" s="39">
        <f t="shared" si="10"/>
        <v>2.2999999999999998</v>
      </c>
      <c r="Z60" s="39">
        <f t="shared" si="10"/>
        <v>4.3</v>
      </c>
      <c r="AA60" s="39">
        <f t="shared" si="10"/>
        <v>3</v>
      </c>
      <c r="AB60" s="39">
        <f t="shared" si="10"/>
        <v>1.9000000000000001</v>
      </c>
      <c r="AC60" s="39">
        <f t="shared" si="10"/>
        <v>2</v>
      </c>
      <c r="AD60" s="39">
        <f t="shared" si="10"/>
        <v>3.8</v>
      </c>
      <c r="AE60" s="40">
        <f t="shared" si="10"/>
        <v>3.0999999999999996</v>
      </c>
    </row>
    <row r="61" spans="1:31">
      <c r="A61" s="3" t="s">
        <v>36</v>
      </c>
      <c r="B61" s="41">
        <f t="shared" ref="B61:AE61" si="11">B29-0.7</f>
        <v>0.90000000000000013</v>
      </c>
      <c r="C61" s="39">
        <f t="shared" si="11"/>
        <v>2.5999999999999996</v>
      </c>
      <c r="D61" s="39">
        <f t="shared" si="11"/>
        <v>0.60000000000000009</v>
      </c>
      <c r="E61" s="39">
        <f t="shared" si="11"/>
        <v>1.7</v>
      </c>
      <c r="F61" s="39">
        <f t="shared" si="11"/>
        <v>1.4000000000000001</v>
      </c>
      <c r="G61" s="39">
        <f t="shared" si="11"/>
        <v>1.5999999999999999</v>
      </c>
      <c r="H61" s="39">
        <f t="shared" si="11"/>
        <v>1.3</v>
      </c>
      <c r="I61" s="40">
        <f t="shared" si="11"/>
        <v>1.3</v>
      </c>
      <c r="J61" s="41">
        <f t="shared" si="11"/>
        <v>1.1600000000000001</v>
      </c>
      <c r="K61" s="39">
        <f t="shared" si="11"/>
        <v>0.90000000000000013</v>
      </c>
      <c r="L61" s="39">
        <f t="shared" si="11"/>
        <v>1.3</v>
      </c>
      <c r="M61" s="39">
        <f t="shared" si="11"/>
        <v>3.05</v>
      </c>
      <c r="N61" s="39">
        <f t="shared" si="11"/>
        <v>2.5</v>
      </c>
      <c r="O61" s="39">
        <f t="shared" si="11"/>
        <v>3.1500000000000004</v>
      </c>
      <c r="P61" s="39">
        <f t="shared" si="11"/>
        <v>1.9000000000000001</v>
      </c>
      <c r="Q61" s="40">
        <f t="shared" si="11"/>
        <v>2.5999999999999996</v>
      </c>
      <c r="R61" s="41">
        <f t="shared" si="11"/>
        <v>3.8</v>
      </c>
      <c r="S61" s="39">
        <f t="shared" si="11"/>
        <v>3.3</v>
      </c>
      <c r="T61" s="39">
        <f t="shared" si="11"/>
        <v>6.3999999999999995</v>
      </c>
      <c r="U61" s="39">
        <f t="shared" si="11"/>
        <v>4.5999999999999996</v>
      </c>
      <c r="V61" s="39">
        <f t="shared" si="11"/>
        <v>4.3999999999999995</v>
      </c>
      <c r="W61" s="40">
        <f t="shared" si="11"/>
        <v>2.7</v>
      </c>
      <c r="X61" s="41">
        <f t="shared" si="11"/>
        <v>4</v>
      </c>
      <c r="Y61" s="39">
        <f t="shared" si="11"/>
        <v>5.5</v>
      </c>
      <c r="Z61" s="39">
        <f t="shared" si="11"/>
        <v>5.6</v>
      </c>
      <c r="AA61" s="39">
        <f t="shared" si="11"/>
        <v>3.8</v>
      </c>
      <c r="AB61" s="39">
        <f t="shared" si="11"/>
        <v>2</v>
      </c>
      <c r="AC61" s="39">
        <f t="shared" si="11"/>
        <v>2.0999999999999996</v>
      </c>
      <c r="AD61" s="39">
        <f t="shared" si="11"/>
        <v>4.5599999999999996</v>
      </c>
      <c r="AE61" s="40">
        <f t="shared" si="11"/>
        <v>3.5</v>
      </c>
    </row>
    <row r="62" spans="1:31">
      <c r="A62" s="3" t="s">
        <v>37</v>
      </c>
      <c r="B62" s="41">
        <f t="shared" ref="B62:AE62" si="12">B30-0.7</f>
        <v>0.90000000000000013</v>
      </c>
      <c r="C62" s="39">
        <f t="shared" si="12"/>
        <v>2.7</v>
      </c>
      <c r="D62" s="39">
        <f t="shared" si="12"/>
        <v>0.5</v>
      </c>
      <c r="E62" s="39">
        <f t="shared" si="12"/>
        <v>1.8</v>
      </c>
      <c r="F62" s="39">
        <f t="shared" si="12"/>
        <v>1.4000000000000001</v>
      </c>
      <c r="G62" s="39">
        <f t="shared" si="12"/>
        <v>1.5000000000000002</v>
      </c>
      <c r="H62" s="39">
        <f t="shared" si="12"/>
        <v>1.4600000000000002</v>
      </c>
      <c r="I62" s="40">
        <f t="shared" si="12"/>
        <v>1.5000000000000002</v>
      </c>
      <c r="J62" s="41">
        <f t="shared" si="12"/>
        <v>0.95</v>
      </c>
      <c r="K62" s="39">
        <f t="shared" si="12"/>
        <v>2</v>
      </c>
      <c r="L62" s="39">
        <f t="shared" si="12"/>
        <v>0.95</v>
      </c>
      <c r="M62" s="39">
        <f t="shared" si="12"/>
        <v>2.5499999999999998</v>
      </c>
      <c r="N62" s="39">
        <f t="shared" si="12"/>
        <v>1.8699999999999999</v>
      </c>
      <c r="O62" s="39">
        <f t="shared" si="12"/>
        <v>2.5999999999999996</v>
      </c>
      <c r="P62" s="39">
        <f t="shared" si="12"/>
        <v>1.5000000000000002</v>
      </c>
      <c r="Q62" s="40">
        <f t="shared" si="12"/>
        <v>2.17</v>
      </c>
      <c r="R62" s="41">
        <f t="shared" si="12"/>
        <v>3.75</v>
      </c>
      <c r="S62" s="39">
        <f t="shared" si="12"/>
        <v>3.8999999999999995</v>
      </c>
      <c r="T62" s="39">
        <f t="shared" si="12"/>
        <v>6.8</v>
      </c>
      <c r="U62" s="39">
        <f t="shared" si="12"/>
        <v>4.5999999999999996</v>
      </c>
      <c r="V62" s="39">
        <f t="shared" si="12"/>
        <v>4.7</v>
      </c>
      <c r="W62" s="40">
        <f t="shared" si="12"/>
        <v>2.9000000000000004</v>
      </c>
      <c r="X62" s="41">
        <f t="shared" si="12"/>
        <v>3.3999999999999995</v>
      </c>
      <c r="Y62" s="39">
        <f t="shared" si="12"/>
        <v>4.8999999999999995</v>
      </c>
      <c r="Z62" s="39">
        <f t="shared" si="12"/>
        <v>5.2</v>
      </c>
      <c r="AA62" s="39">
        <f t="shared" si="12"/>
        <v>3.3</v>
      </c>
      <c r="AB62" s="39">
        <f t="shared" si="12"/>
        <v>0.5</v>
      </c>
      <c r="AC62" s="39">
        <f t="shared" si="12"/>
        <v>1.95</v>
      </c>
      <c r="AD62" s="39">
        <f t="shared" si="12"/>
        <v>3.8999999999999995</v>
      </c>
      <c r="AE62" s="40">
        <f t="shared" si="12"/>
        <v>2.9000000000000004</v>
      </c>
    </row>
    <row r="63" spans="1:31">
      <c r="A63" s="3" t="s">
        <v>38</v>
      </c>
      <c r="B63" s="41">
        <f t="shared" ref="B63:AE63" si="13">B31-0.7</f>
        <v>0.90000000000000013</v>
      </c>
      <c r="C63" s="39">
        <f t="shared" si="13"/>
        <v>3.0999999999999996</v>
      </c>
      <c r="D63" s="39">
        <f t="shared" si="13"/>
        <v>0.5</v>
      </c>
      <c r="E63" s="39">
        <f t="shared" si="13"/>
        <v>1.9000000000000001</v>
      </c>
      <c r="F63" s="39">
        <f t="shared" si="13"/>
        <v>1.5000000000000002</v>
      </c>
      <c r="G63" s="39">
        <f t="shared" si="13"/>
        <v>1.5000000000000002</v>
      </c>
      <c r="H63" s="39">
        <f t="shared" si="13"/>
        <v>1.7</v>
      </c>
      <c r="I63" s="40">
        <f t="shared" si="13"/>
        <v>1.4000000000000001</v>
      </c>
      <c r="J63" s="41">
        <f t="shared" si="13"/>
        <v>1.3</v>
      </c>
      <c r="K63" s="39">
        <f t="shared" si="13"/>
        <v>2</v>
      </c>
      <c r="L63" s="39">
        <f t="shared" si="13"/>
        <v>1.1000000000000001</v>
      </c>
      <c r="M63" s="39">
        <f t="shared" si="13"/>
        <v>3.1500000000000004</v>
      </c>
      <c r="N63" s="39">
        <f t="shared" si="13"/>
        <v>2.7</v>
      </c>
      <c r="O63" s="39">
        <f t="shared" si="13"/>
        <v>3.3999999999999995</v>
      </c>
      <c r="P63" s="39">
        <f t="shared" si="13"/>
        <v>1.9000000000000001</v>
      </c>
      <c r="Q63" s="40">
        <f t="shared" si="13"/>
        <v>2.7</v>
      </c>
      <c r="R63" s="41">
        <f t="shared" si="13"/>
        <v>3.7</v>
      </c>
      <c r="S63" s="39">
        <f t="shared" si="13"/>
        <v>3.8</v>
      </c>
      <c r="T63" s="39">
        <f t="shared" si="13"/>
        <v>7.6000000000000005</v>
      </c>
      <c r="U63" s="39">
        <f t="shared" si="13"/>
        <v>4.75</v>
      </c>
      <c r="V63" s="39">
        <f t="shared" si="13"/>
        <v>5.0999999999999996</v>
      </c>
      <c r="W63" s="40">
        <f t="shared" si="13"/>
        <v>3.3</v>
      </c>
      <c r="X63" s="41">
        <f t="shared" si="13"/>
        <v>4</v>
      </c>
      <c r="Y63" s="39">
        <f t="shared" si="13"/>
        <v>7.2</v>
      </c>
      <c r="Z63" s="39">
        <f t="shared" si="13"/>
        <v>6.14</v>
      </c>
      <c r="AA63" s="39">
        <f t="shared" si="13"/>
        <v>3.8999999999999995</v>
      </c>
      <c r="AB63" s="39">
        <f t="shared" si="13"/>
        <v>2.0999999999999996</v>
      </c>
      <c r="AC63" s="39">
        <f t="shared" si="13"/>
        <v>2.2999999999999998</v>
      </c>
      <c r="AD63" s="39">
        <f t="shared" si="13"/>
        <v>4.5999999999999996</v>
      </c>
      <c r="AE63" s="40">
        <f t="shared" si="13"/>
        <v>3.3</v>
      </c>
    </row>
    <row r="64" spans="1:31">
      <c r="A64" s="3" t="s">
        <v>39</v>
      </c>
      <c r="B64" s="41">
        <f t="shared" ref="B64:AE66" si="14">B32-0.7</f>
        <v>0.90000000000000013</v>
      </c>
      <c r="C64" s="39">
        <f t="shared" si="14"/>
        <v>3.0999999999999996</v>
      </c>
      <c r="D64" s="39">
        <f t="shared" si="14"/>
        <v>0.5</v>
      </c>
      <c r="E64" s="39">
        <f t="shared" si="14"/>
        <v>1.8</v>
      </c>
      <c r="F64" s="39">
        <f t="shared" si="14"/>
        <v>1.5000000000000002</v>
      </c>
      <c r="G64" s="39">
        <f t="shared" si="14"/>
        <v>1.5999999999999999</v>
      </c>
      <c r="H64" s="39">
        <f t="shared" si="14"/>
        <v>1.4000000000000001</v>
      </c>
      <c r="I64" s="40">
        <f t="shared" si="14"/>
        <v>1.55</v>
      </c>
      <c r="J64" s="41">
        <f t="shared" si="14"/>
        <v>1</v>
      </c>
      <c r="K64" s="39">
        <f t="shared" si="14"/>
        <v>1.7</v>
      </c>
      <c r="L64" s="39">
        <f t="shared" si="14"/>
        <v>0.8</v>
      </c>
      <c r="M64" s="39">
        <f t="shared" si="14"/>
        <v>2.9000000000000004</v>
      </c>
      <c r="N64" s="39">
        <f t="shared" si="14"/>
        <v>2.2000000000000002</v>
      </c>
      <c r="O64" s="39">
        <f t="shared" si="14"/>
        <v>3.1500000000000004</v>
      </c>
      <c r="P64" s="39">
        <f t="shared" si="14"/>
        <v>1.7</v>
      </c>
      <c r="Q64" s="40">
        <f t="shared" si="14"/>
        <v>2.5999999999999996</v>
      </c>
      <c r="R64" s="41">
        <f t="shared" si="14"/>
        <v>3.8999999999999995</v>
      </c>
      <c r="S64" s="39">
        <f t="shared" si="14"/>
        <v>3.8999999999999995</v>
      </c>
      <c r="T64" s="39">
        <f t="shared" si="14"/>
        <v>8.7000000000000011</v>
      </c>
      <c r="U64" s="39">
        <f t="shared" si="14"/>
        <v>5.6</v>
      </c>
      <c r="V64" s="39">
        <f t="shared" si="14"/>
        <v>5.3</v>
      </c>
      <c r="W64" s="40">
        <f t="shared" si="14"/>
        <v>3.3999999999999995</v>
      </c>
      <c r="X64" s="41">
        <f t="shared" si="14"/>
        <v>3.7</v>
      </c>
      <c r="Y64" s="39">
        <f t="shared" si="14"/>
        <v>5.3999999999999995</v>
      </c>
      <c r="Z64" s="39">
        <f t="shared" si="14"/>
        <v>6.3</v>
      </c>
      <c r="AA64" s="39">
        <f t="shared" si="14"/>
        <v>3.7</v>
      </c>
      <c r="AB64" s="39">
        <f t="shared" si="14"/>
        <v>1.9000000000000001</v>
      </c>
      <c r="AC64" s="39">
        <f t="shared" si="14"/>
        <v>3.3</v>
      </c>
      <c r="AD64" s="39">
        <f t="shared" si="14"/>
        <v>4.0999999999999996</v>
      </c>
      <c r="AE64" s="40">
        <f t="shared" si="14"/>
        <v>3</v>
      </c>
    </row>
    <row r="65" spans="1:31">
      <c r="A65" s="3" t="s">
        <v>40</v>
      </c>
      <c r="B65" s="41">
        <f t="shared" si="14"/>
        <v>0.90000000000000013</v>
      </c>
      <c r="C65" s="39">
        <f t="shared" si="14"/>
        <v>3.7800000000000002</v>
      </c>
      <c r="D65" s="39">
        <f t="shared" si="14"/>
        <v>0.5</v>
      </c>
      <c r="E65" s="39">
        <f t="shared" si="14"/>
        <v>2.0999999999999996</v>
      </c>
      <c r="F65" s="39">
        <f t="shared" si="14"/>
        <v>1.7</v>
      </c>
      <c r="G65" s="39">
        <f t="shared" si="14"/>
        <v>1.86</v>
      </c>
      <c r="H65" s="39">
        <f t="shared" si="14"/>
        <v>1.9000000000000001</v>
      </c>
      <c r="I65" s="40">
        <f t="shared" si="14"/>
        <v>1.9000000000000001</v>
      </c>
      <c r="J65" s="41">
        <f t="shared" si="14"/>
        <v>1.3</v>
      </c>
      <c r="K65" s="39">
        <f t="shared" si="14"/>
        <v>2</v>
      </c>
      <c r="L65" s="39">
        <f t="shared" si="14"/>
        <v>1.1000000000000001</v>
      </c>
      <c r="M65" s="39">
        <f t="shared" si="14"/>
        <v>3.8</v>
      </c>
      <c r="N65" s="39">
        <f t="shared" si="14"/>
        <v>2.9000000000000004</v>
      </c>
      <c r="O65" s="39">
        <f t="shared" si="14"/>
        <v>4.0999999999999996</v>
      </c>
      <c r="P65" s="39">
        <f t="shared" si="14"/>
        <v>2.0999999999999996</v>
      </c>
      <c r="Q65" s="40">
        <f t="shared" si="14"/>
        <v>2.87</v>
      </c>
      <c r="R65" s="41">
        <f t="shared" ref="R65:AE65" si="15">R33-0.7</f>
        <v>4</v>
      </c>
      <c r="S65" s="39">
        <f t="shared" si="15"/>
        <v>4.3999999999999995</v>
      </c>
      <c r="T65" s="39">
        <f t="shared" si="15"/>
        <v>8.9</v>
      </c>
      <c r="U65" s="39">
        <f t="shared" si="15"/>
        <v>5.5</v>
      </c>
      <c r="V65" s="39">
        <f t="shared" si="15"/>
        <v>5.8999999999999995</v>
      </c>
      <c r="W65" s="40">
        <f t="shared" si="15"/>
        <v>4</v>
      </c>
      <c r="X65" s="41">
        <f t="shared" si="15"/>
        <v>4.55</v>
      </c>
      <c r="Y65" s="39">
        <f t="shared" si="15"/>
        <v>7</v>
      </c>
      <c r="Z65" s="39">
        <f t="shared" si="15"/>
        <v>7.6000000000000005</v>
      </c>
      <c r="AA65" s="39">
        <f t="shared" si="15"/>
        <v>4.5999999999999996</v>
      </c>
      <c r="AB65" s="39">
        <f t="shared" si="15"/>
        <v>2.2999999999999998</v>
      </c>
      <c r="AC65" s="39">
        <f t="shared" si="15"/>
        <v>2.5999999999999996</v>
      </c>
      <c r="AD65" s="39">
        <f t="shared" si="15"/>
        <v>5</v>
      </c>
      <c r="AE65" s="40">
        <f t="shared" si="15"/>
        <v>3.8999999999999995</v>
      </c>
    </row>
    <row r="66" spans="1:31">
      <c r="A66" s="3" t="s">
        <v>41</v>
      </c>
      <c r="B66" s="41">
        <f t="shared" si="14"/>
        <v>0.5</v>
      </c>
      <c r="C66" s="39">
        <f t="shared" si="14"/>
        <v>4.1499999999999995</v>
      </c>
      <c r="D66" s="39">
        <f t="shared" si="14"/>
        <v>0.7</v>
      </c>
      <c r="E66" s="39">
        <f t="shared" si="14"/>
        <v>2.5</v>
      </c>
      <c r="F66" s="39">
        <f t="shared" si="14"/>
        <v>1.7</v>
      </c>
      <c r="G66" s="39">
        <f t="shared" si="14"/>
        <v>1.8</v>
      </c>
      <c r="H66" s="39">
        <f t="shared" si="14"/>
        <v>2.0999999999999996</v>
      </c>
      <c r="I66" s="40">
        <f t="shared" si="14"/>
        <v>2.0999999999999996</v>
      </c>
      <c r="J66" s="41">
        <f t="shared" si="14"/>
        <v>1.1000000000000001</v>
      </c>
      <c r="K66" s="39">
        <f t="shared" si="14"/>
        <v>1.8</v>
      </c>
      <c r="L66" s="39">
        <f t="shared" si="14"/>
        <v>0.90000000000000013</v>
      </c>
      <c r="M66" s="39">
        <f t="shared" si="14"/>
        <v>3.0999999999999996</v>
      </c>
      <c r="N66" s="39">
        <f t="shared" si="14"/>
        <v>2.75</v>
      </c>
      <c r="O66" s="39">
        <f t="shared" si="14"/>
        <v>3.8999999999999995</v>
      </c>
      <c r="P66" s="39">
        <f t="shared" si="14"/>
        <v>1.7500000000000002</v>
      </c>
      <c r="Q66" s="40">
        <f t="shared" si="14"/>
        <v>2.5</v>
      </c>
      <c r="R66" s="41">
        <f t="shared" ref="R66:AE66" si="16">R34-0.7</f>
        <v>4.5999999999999996</v>
      </c>
      <c r="S66" s="39">
        <f t="shared" si="16"/>
        <v>4.5</v>
      </c>
      <c r="T66" s="39">
        <f t="shared" si="16"/>
        <v>9</v>
      </c>
      <c r="U66" s="39">
        <f t="shared" si="16"/>
        <v>5.3</v>
      </c>
      <c r="V66" s="39">
        <f t="shared" si="16"/>
        <v>5.7</v>
      </c>
      <c r="W66" s="40">
        <f t="shared" si="16"/>
        <v>4.2</v>
      </c>
      <c r="X66" s="41">
        <f t="shared" si="16"/>
        <v>3.8999999999999995</v>
      </c>
      <c r="Y66" s="39">
        <f t="shared" si="16"/>
        <v>6.05</v>
      </c>
      <c r="Z66" s="39">
        <f t="shared" si="16"/>
        <v>7.05</v>
      </c>
      <c r="AA66" s="39">
        <f t="shared" si="16"/>
        <v>4</v>
      </c>
      <c r="AB66" s="39">
        <f t="shared" si="16"/>
        <v>2</v>
      </c>
      <c r="AC66" s="39">
        <f t="shared" si="16"/>
        <v>2.0499999999999998</v>
      </c>
      <c r="AD66" s="39">
        <f t="shared" si="16"/>
        <v>4.5999999999999996</v>
      </c>
      <c r="AE66" s="40">
        <f t="shared" si="16"/>
        <v>3.7</v>
      </c>
    </row>
    <row r="67" spans="1:31">
      <c r="B67" s="41"/>
      <c r="C67" s="39"/>
      <c r="D67" s="39"/>
      <c r="E67" s="39"/>
      <c r="F67" s="39"/>
      <c r="G67" s="39"/>
      <c r="H67" s="39"/>
      <c r="I67" s="40"/>
      <c r="J67" s="41"/>
      <c r="K67" s="39"/>
      <c r="L67" s="39"/>
      <c r="M67" s="39"/>
      <c r="N67" s="39"/>
      <c r="O67" s="39"/>
      <c r="P67" s="39"/>
      <c r="Q67" s="40"/>
      <c r="R67" s="41"/>
      <c r="S67" s="39"/>
      <c r="T67" s="39"/>
      <c r="U67" s="39"/>
      <c r="V67" s="39"/>
      <c r="W67" s="40"/>
      <c r="X67" s="41"/>
      <c r="Y67" s="39"/>
      <c r="Z67" s="39"/>
      <c r="AA67" s="39"/>
      <c r="AB67" s="39"/>
      <c r="AC67" s="39"/>
      <c r="AD67" s="39"/>
      <c r="AE67" s="40"/>
    </row>
    <row r="68" spans="1:31" ht="19" thickBot="1">
      <c r="B68" s="88"/>
      <c r="C68" s="89"/>
      <c r="D68" s="89"/>
      <c r="E68" s="89"/>
      <c r="F68" s="89"/>
      <c r="G68" s="89"/>
      <c r="H68" s="89"/>
      <c r="I68" s="4"/>
      <c r="J68" s="88"/>
      <c r="K68" s="89"/>
      <c r="L68" s="89"/>
      <c r="M68" s="89"/>
      <c r="N68" s="89"/>
      <c r="O68" s="89"/>
      <c r="P68" s="89"/>
      <c r="Q68" s="4"/>
      <c r="R68" s="88"/>
      <c r="S68" s="89"/>
      <c r="T68" s="89"/>
      <c r="U68" s="89"/>
      <c r="V68" s="89"/>
      <c r="W68" s="4"/>
      <c r="X68" s="88"/>
      <c r="Y68" s="89"/>
      <c r="Z68" s="89"/>
      <c r="AA68" s="89"/>
      <c r="AB68" s="89"/>
      <c r="AC68" s="89"/>
      <c r="AD68" s="89"/>
      <c r="AE68" s="4"/>
    </row>
    <row r="72" spans="1:31" ht="19" thickBot="1"/>
    <row r="73" spans="1:31" ht="19" thickBot="1">
      <c r="A73" s="11" t="s">
        <v>21</v>
      </c>
      <c r="B73" s="111" t="s">
        <v>12</v>
      </c>
      <c r="C73" s="105"/>
      <c r="D73" s="105"/>
      <c r="E73" s="105"/>
      <c r="F73" s="105"/>
      <c r="G73" s="105"/>
      <c r="H73" s="105"/>
      <c r="I73" s="106"/>
      <c r="J73" s="111" t="s">
        <v>13</v>
      </c>
      <c r="K73" s="105"/>
      <c r="L73" s="105"/>
      <c r="M73" s="105"/>
      <c r="N73" s="105"/>
      <c r="O73" s="105"/>
      <c r="P73" s="105"/>
      <c r="Q73" s="106"/>
      <c r="R73" s="111" t="s">
        <v>14</v>
      </c>
      <c r="S73" s="105"/>
      <c r="T73" s="105"/>
      <c r="U73" s="105"/>
      <c r="V73" s="105"/>
      <c r="W73" s="106"/>
      <c r="X73" s="111" t="s">
        <v>20</v>
      </c>
      <c r="Y73" s="105"/>
      <c r="Z73" s="105"/>
      <c r="AA73" s="105"/>
      <c r="AB73" s="105"/>
      <c r="AC73" s="105"/>
      <c r="AD73" s="105"/>
      <c r="AE73" s="106"/>
    </row>
    <row r="74" spans="1:31" ht="19" thickBot="1">
      <c r="A74" s="11"/>
      <c r="B74" s="149" t="s">
        <v>10</v>
      </c>
      <c r="C74" s="150"/>
      <c r="D74" s="150"/>
      <c r="E74" s="150"/>
      <c r="F74" s="150"/>
      <c r="G74" s="150"/>
      <c r="H74" s="150"/>
      <c r="I74" s="151"/>
      <c r="J74" s="152" t="s">
        <v>16</v>
      </c>
      <c r="K74" s="150"/>
      <c r="L74" s="150"/>
      <c r="M74" s="150"/>
      <c r="N74" s="150"/>
      <c r="O74" s="150"/>
      <c r="P74" s="150"/>
      <c r="Q74" s="151"/>
      <c r="R74" s="153" t="s">
        <v>11</v>
      </c>
      <c r="S74" s="154"/>
      <c r="T74" s="154"/>
      <c r="U74" s="154"/>
      <c r="V74" s="154"/>
      <c r="W74" s="155"/>
      <c r="X74" s="156" t="s">
        <v>9</v>
      </c>
      <c r="Y74" s="157"/>
      <c r="Z74" s="157"/>
      <c r="AA74" s="157"/>
      <c r="AB74" s="157"/>
      <c r="AC74" s="157"/>
      <c r="AD74" s="157"/>
      <c r="AE74" s="158"/>
    </row>
    <row r="75" spans="1:31" ht="19">
      <c r="A75" s="12"/>
      <c r="B75" s="138">
        <v>951</v>
      </c>
      <c r="C75" s="102"/>
      <c r="D75" s="102">
        <v>3</v>
      </c>
      <c r="E75" s="102"/>
      <c r="F75" s="102">
        <v>5</v>
      </c>
      <c r="G75" s="102"/>
      <c r="H75" s="102">
        <v>78</v>
      </c>
      <c r="I75" s="103"/>
      <c r="J75" s="159">
        <v>1</v>
      </c>
      <c r="K75" s="140"/>
      <c r="L75" s="140">
        <v>4</v>
      </c>
      <c r="M75" s="140"/>
      <c r="N75" s="140">
        <v>952</v>
      </c>
      <c r="O75" s="140"/>
      <c r="P75" s="140">
        <v>962</v>
      </c>
      <c r="Q75" s="141"/>
      <c r="R75" s="162">
        <v>958</v>
      </c>
      <c r="S75" s="143"/>
      <c r="T75" s="143">
        <v>959</v>
      </c>
      <c r="U75" s="143"/>
      <c r="V75" s="143">
        <v>961</v>
      </c>
      <c r="W75" s="144"/>
      <c r="X75" s="161">
        <v>960</v>
      </c>
      <c r="Y75" s="146"/>
      <c r="Z75" s="147">
        <v>2</v>
      </c>
      <c r="AA75" s="147"/>
      <c r="AB75" s="146">
        <v>953</v>
      </c>
      <c r="AC75" s="146"/>
      <c r="AD75" s="146">
        <v>79</v>
      </c>
      <c r="AE75" s="148"/>
    </row>
    <row r="76" spans="1:31" ht="20" thickBot="1">
      <c r="A76" s="12"/>
      <c r="B76" s="62" t="s">
        <v>2</v>
      </c>
      <c r="C76" s="63" t="s">
        <v>3</v>
      </c>
      <c r="D76" s="64" t="s">
        <v>2</v>
      </c>
      <c r="E76" s="64" t="s">
        <v>3</v>
      </c>
      <c r="F76" s="64" t="s">
        <v>2</v>
      </c>
      <c r="G76" s="64" t="s">
        <v>3</v>
      </c>
      <c r="H76" s="64" t="s">
        <v>2</v>
      </c>
      <c r="I76" s="65" t="s">
        <v>3</v>
      </c>
      <c r="J76" s="66" t="s">
        <v>2</v>
      </c>
      <c r="K76" s="67" t="s">
        <v>3</v>
      </c>
      <c r="L76" s="67" t="s">
        <v>2</v>
      </c>
      <c r="M76" s="67" t="s">
        <v>3</v>
      </c>
      <c r="N76" s="67" t="s">
        <v>2</v>
      </c>
      <c r="O76" s="67" t="s">
        <v>3</v>
      </c>
      <c r="P76" s="67" t="s">
        <v>2</v>
      </c>
      <c r="Q76" s="68" t="s">
        <v>3</v>
      </c>
      <c r="R76" s="69" t="s">
        <v>2</v>
      </c>
      <c r="S76" s="70" t="s">
        <v>3</v>
      </c>
      <c r="T76" s="70" t="s">
        <v>2</v>
      </c>
      <c r="U76" s="70" t="s">
        <v>3</v>
      </c>
      <c r="V76" s="70" t="s">
        <v>2</v>
      </c>
      <c r="W76" s="71" t="s">
        <v>3</v>
      </c>
      <c r="X76" s="72" t="s">
        <v>2</v>
      </c>
      <c r="Y76" s="73" t="s">
        <v>3</v>
      </c>
      <c r="Z76" s="74" t="s">
        <v>2</v>
      </c>
      <c r="AA76" s="74" t="s">
        <v>3</v>
      </c>
      <c r="AB76" s="73" t="s">
        <v>2</v>
      </c>
      <c r="AC76" s="73" t="s">
        <v>3</v>
      </c>
      <c r="AD76" s="75" t="s">
        <v>2</v>
      </c>
      <c r="AE76" s="76" t="s">
        <v>3</v>
      </c>
    </row>
    <row r="77" spans="1:31">
      <c r="A77" s="6" t="s">
        <v>6</v>
      </c>
      <c r="B77" s="41">
        <f t="shared" ref="B77:Q77" si="17">B50/B$50</f>
        <v>1</v>
      </c>
      <c r="C77" s="39">
        <f t="shared" si="17"/>
        <v>1</v>
      </c>
      <c r="D77" s="39">
        <f t="shared" si="17"/>
        <v>1</v>
      </c>
      <c r="E77" s="39">
        <f t="shared" si="17"/>
        <v>1</v>
      </c>
      <c r="F77" s="39">
        <f t="shared" si="17"/>
        <v>1</v>
      </c>
      <c r="G77" s="39">
        <f t="shared" si="17"/>
        <v>1</v>
      </c>
      <c r="H77" s="39">
        <f t="shared" si="17"/>
        <v>1</v>
      </c>
      <c r="I77" s="40">
        <f t="shared" si="17"/>
        <v>1</v>
      </c>
      <c r="J77" s="41">
        <f t="shared" si="17"/>
        <v>1</v>
      </c>
      <c r="K77" s="39">
        <f t="shared" si="17"/>
        <v>1</v>
      </c>
      <c r="L77" s="39">
        <f t="shared" si="17"/>
        <v>1</v>
      </c>
      <c r="M77" s="39">
        <f t="shared" si="17"/>
        <v>1</v>
      </c>
      <c r="N77" s="39">
        <f t="shared" si="17"/>
        <v>1</v>
      </c>
      <c r="O77" s="39">
        <f t="shared" si="17"/>
        <v>1</v>
      </c>
      <c r="P77" s="39">
        <f t="shared" si="17"/>
        <v>1</v>
      </c>
      <c r="Q77" s="40">
        <f t="shared" si="17"/>
        <v>1</v>
      </c>
      <c r="R77" s="41">
        <f t="shared" ref="R77:AE77" si="18">R50/R$50</f>
        <v>1</v>
      </c>
      <c r="S77" s="39">
        <f t="shared" si="18"/>
        <v>1</v>
      </c>
      <c r="T77" s="39">
        <f t="shared" si="18"/>
        <v>1</v>
      </c>
      <c r="U77" s="39">
        <f t="shared" si="18"/>
        <v>1</v>
      </c>
      <c r="V77" s="39">
        <f t="shared" si="18"/>
        <v>1</v>
      </c>
      <c r="W77" s="40">
        <f t="shared" si="18"/>
        <v>1</v>
      </c>
      <c r="X77" s="41">
        <f t="shared" si="18"/>
        <v>1</v>
      </c>
      <c r="Y77" s="39">
        <f t="shared" si="18"/>
        <v>1</v>
      </c>
      <c r="Z77" s="39">
        <f t="shared" si="18"/>
        <v>1</v>
      </c>
      <c r="AA77" s="39">
        <f t="shared" si="18"/>
        <v>1</v>
      </c>
      <c r="AB77" s="39">
        <f t="shared" si="18"/>
        <v>1</v>
      </c>
      <c r="AC77" s="39">
        <f t="shared" si="18"/>
        <v>1</v>
      </c>
      <c r="AD77" s="39">
        <f t="shared" si="18"/>
        <v>1</v>
      </c>
      <c r="AE77" s="40">
        <f t="shared" si="18"/>
        <v>1</v>
      </c>
    </row>
    <row r="78" spans="1:31">
      <c r="A78" s="3" t="s">
        <v>17</v>
      </c>
      <c r="B78" s="41">
        <f t="shared" ref="B78:Q78" si="19">B51/B$50</f>
        <v>1</v>
      </c>
      <c r="C78" s="39">
        <f t="shared" si="19"/>
        <v>0.64912280701754388</v>
      </c>
      <c r="D78" s="39">
        <f t="shared" si="19"/>
        <v>0.60714285714285721</v>
      </c>
      <c r="E78" s="39">
        <f t="shared" si="19"/>
        <v>0.55813953488372103</v>
      </c>
      <c r="F78" s="39">
        <f t="shared" si="19"/>
        <v>0.69444444444444453</v>
      </c>
      <c r="G78" s="39">
        <f t="shared" si="19"/>
        <v>0.63414634146341464</v>
      </c>
      <c r="H78" s="39">
        <f t="shared" si="19"/>
        <v>0.65624999999999989</v>
      </c>
      <c r="I78" s="40">
        <f t="shared" si="19"/>
        <v>0.54054054054054046</v>
      </c>
      <c r="J78" s="41">
        <f t="shared" si="19"/>
        <v>0.59090909090909083</v>
      </c>
      <c r="K78" s="39">
        <f t="shared" si="19"/>
        <v>0.73684210526315785</v>
      </c>
      <c r="L78" s="39">
        <f t="shared" si="19"/>
        <v>1</v>
      </c>
      <c r="M78" s="39">
        <f t="shared" si="19"/>
        <v>0.55555555555555558</v>
      </c>
      <c r="N78" s="39">
        <f t="shared" si="19"/>
        <v>0.69999999999999984</v>
      </c>
      <c r="O78" s="39">
        <f t="shared" si="19"/>
        <v>0.63333333333333341</v>
      </c>
      <c r="P78" s="39">
        <f t="shared" si="19"/>
        <v>0.66666666666666663</v>
      </c>
      <c r="Q78" s="40">
        <f t="shared" si="19"/>
        <v>0.625</v>
      </c>
      <c r="R78" s="41">
        <f t="shared" ref="R78:AE78" si="20">R51/R$50</f>
        <v>0.83673469387755106</v>
      </c>
      <c r="S78" s="39">
        <f t="shared" si="20"/>
        <v>0.86363636363636365</v>
      </c>
      <c r="T78" s="39">
        <f t="shared" si="20"/>
        <v>0.80327868852459017</v>
      </c>
      <c r="U78" s="39">
        <f t="shared" si="20"/>
        <v>0.81632653061224503</v>
      </c>
      <c r="V78" s="39">
        <f t="shared" si="20"/>
        <v>0.72</v>
      </c>
      <c r="W78" s="40">
        <f t="shared" si="20"/>
        <v>0.90625000000000011</v>
      </c>
      <c r="X78" s="41">
        <f t="shared" si="20"/>
        <v>0.71052631578947378</v>
      </c>
      <c r="Y78" s="39">
        <f t="shared" si="20"/>
        <v>0.63636363636363635</v>
      </c>
      <c r="Z78" s="39">
        <f t="shared" si="20"/>
        <v>0.66666666666666663</v>
      </c>
      <c r="AA78" s="39">
        <f t="shared" si="20"/>
        <v>0.65714285714285714</v>
      </c>
      <c r="AB78" s="39">
        <f t="shared" si="20"/>
        <v>0.65517241379310343</v>
      </c>
      <c r="AC78" s="39">
        <f t="shared" si="20"/>
        <v>0.47727272727272724</v>
      </c>
      <c r="AD78" s="39">
        <f t="shared" si="20"/>
        <v>0.69387755102040816</v>
      </c>
      <c r="AE78" s="40">
        <f t="shared" si="20"/>
        <v>0.63157894736842113</v>
      </c>
    </row>
    <row r="79" spans="1:31">
      <c r="A79" s="3" t="s">
        <v>23</v>
      </c>
      <c r="B79" s="41">
        <f t="shared" ref="B79:Q79" si="21">B52/B$50</f>
        <v>0.61111111111111116</v>
      </c>
      <c r="C79" s="39">
        <f t="shared" si="21"/>
        <v>0.59649122807017529</v>
      </c>
      <c r="D79" s="39">
        <f t="shared" si="21"/>
        <v>0.53571428571428581</v>
      </c>
      <c r="E79" s="39">
        <f t="shared" si="21"/>
        <v>0.67441860465116288</v>
      </c>
      <c r="F79" s="39">
        <f t="shared" si="21"/>
        <v>0.58333333333333326</v>
      </c>
      <c r="G79" s="39">
        <f t="shared" si="21"/>
        <v>0.53658536585365868</v>
      </c>
      <c r="H79" s="39">
        <f t="shared" si="21"/>
        <v>0.65624999999999989</v>
      </c>
      <c r="I79" s="40">
        <f t="shared" si="21"/>
        <v>0.59459459459459463</v>
      </c>
      <c r="J79" s="41">
        <f t="shared" si="21"/>
        <v>0.72727272727272718</v>
      </c>
      <c r="K79" s="39">
        <f t="shared" si="21"/>
        <v>0.73684210526315785</v>
      </c>
      <c r="L79" s="39">
        <f t="shared" si="21"/>
        <v>0.88235294117647078</v>
      </c>
      <c r="M79" s="39">
        <f t="shared" si="21"/>
        <v>0.61111111111111116</v>
      </c>
      <c r="N79" s="39">
        <f t="shared" si="21"/>
        <v>0.66666666666666663</v>
      </c>
      <c r="O79" s="39">
        <f t="shared" si="21"/>
        <v>1</v>
      </c>
      <c r="P79" s="39">
        <f t="shared" si="21"/>
        <v>0.92592592592592582</v>
      </c>
      <c r="Q79" s="40">
        <f t="shared" si="21"/>
        <v>0.67500000000000004</v>
      </c>
      <c r="R79" s="41">
        <f t="shared" ref="R79:AE79" si="22">R52/R$50</f>
        <v>0.71428571428571441</v>
      </c>
      <c r="S79" s="39">
        <f t="shared" si="22"/>
        <v>0.79545454545454553</v>
      </c>
      <c r="T79" s="39">
        <f t="shared" si="22"/>
        <v>0.7704918032786886</v>
      </c>
      <c r="U79" s="39">
        <f t="shared" si="22"/>
        <v>0.7551020408163267</v>
      </c>
      <c r="V79" s="39">
        <f t="shared" si="22"/>
        <v>0.72</v>
      </c>
      <c r="W79" s="40">
        <f t="shared" si="22"/>
        <v>0.81249999999999989</v>
      </c>
      <c r="X79" s="41">
        <f t="shared" si="22"/>
        <v>0.89473684210526305</v>
      </c>
      <c r="Y79" s="39">
        <f t="shared" si="22"/>
        <v>0.76363636363636367</v>
      </c>
      <c r="Z79" s="39">
        <f t="shared" si="22"/>
        <v>0.8222222222222223</v>
      </c>
      <c r="AA79" s="39">
        <f t="shared" si="22"/>
        <v>0.88571428571428557</v>
      </c>
      <c r="AB79" s="39">
        <f t="shared" si="22"/>
        <v>0.75862068965517238</v>
      </c>
      <c r="AC79" s="39">
        <f t="shared" si="22"/>
        <v>0.9545454545454547</v>
      </c>
      <c r="AD79" s="39">
        <f t="shared" si="22"/>
        <v>0.87755102040816335</v>
      </c>
      <c r="AE79" s="40">
        <f t="shared" si="22"/>
        <v>0.8421052631578948</v>
      </c>
    </row>
    <row r="80" spans="1:31">
      <c r="A80" s="3" t="s">
        <v>24</v>
      </c>
      <c r="B80" s="41">
        <f t="shared" ref="B80:Q80" si="23">B53/B$50</f>
        <v>0.55555555555555558</v>
      </c>
      <c r="C80" s="39">
        <f t="shared" si="23"/>
        <v>0.47368421052631582</v>
      </c>
      <c r="D80" s="39">
        <f t="shared" si="23"/>
        <v>0.5714285714285714</v>
      </c>
      <c r="E80" s="39">
        <f t="shared" si="23"/>
        <v>0.44186046511627913</v>
      </c>
      <c r="F80" s="39">
        <f t="shared" si="23"/>
        <v>0.50000000000000011</v>
      </c>
      <c r="G80" s="39">
        <f t="shared" si="23"/>
        <v>0.46341463414634154</v>
      </c>
      <c r="H80" s="39">
        <f t="shared" si="23"/>
        <v>0.53125</v>
      </c>
      <c r="I80" s="40">
        <f t="shared" si="23"/>
        <v>0.54054054054054046</v>
      </c>
      <c r="J80" s="41">
        <f t="shared" si="23"/>
        <v>0.59090909090909083</v>
      </c>
      <c r="K80" s="39">
        <f t="shared" si="23"/>
        <v>0.65789473684210531</v>
      </c>
      <c r="L80" s="39">
        <f t="shared" si="23"/>
        <v>0.6470588235294118</v>
      </c>
      <c r="M80" s="39">
        <f t="shared" si="23"/>
        <v>0.50000000000000011</v>
      </c>
      <c r="N80" s="39">
        <f t="shared" si="23"/>
        <v>0.73333333333333339</v>
      </c>
      <c r="O80" s="39">
        <f t="shared" si="23"/>
        <v>0.83333333333333337</v>
      </c>
      <c r="P80" s="39">
        <f t="shared" si="23"/>
        <v>0.70370370370370372</v>
      </c>
      <c r="Q80" s="40">
        <f t="shared" si="23"/>
        <v>0.7</v>
      </c>
      <c r="R80" s="41">
        <f t="shared" ref="R80:AE80" si="24">R53/R$50</f>
        <v>0.67346938775510212</v>
      </c>
      <c r="S80" s="39">
        <f t="shared" si="24"/>
        <v>0.88636363636363635</v>
      </c>
      <c r="T80" s="39">
        <f t="shared" si="24"/>
        <v>0.7704918032786886</v>
      </c>
      <c r="U80" s="39">
        <f t="shared" si="24"/>
        <v>0.79591836734693877</v>
      </c>
      <c r="V80" s="39">
        <f t="shared" si="24"/>
        <v>0.72</v>
      </c>
      <c r="W80" s="40">
        <f t="shared" si="24"/>
        <v>0.84375</v>
      </c>
      <c r="X80" s="41">
        <f t="shared" si="24"/>
        <v>0.78947368421052633</v>
      </c>
      <c r="Y80" s="39">
        <f t="shared" si="24"/>
        <v>0.70909090909090899</v>
      </c>
      <c r="Z80" s="39">
        <f t="shared" si="24"/>
        <v>0.73333333333333328</v>
      </c>
      <c r="AA80" s="39">
        <f t="shared" si="24"/>
        <v>0.77142857142857146</v>
      </c>
      <c r="AB80" s="39">
        <f t="shared" si="24"/>
        <v>0.6206896551724137</v>
      </c>
      <c r="AC80" s="39">
        <f t="shared" si="24"/>
        <v>0.47727272727272724</v>
      </c>
      <c r="AD80" s="39">
        <f t="shared" si="24"/>
        <v>0.73469387755102045</v>
      </c>
      <c r="AE80" s="40">
        <f t="shared" si="24"/>
        <v>0.71052631578947378</v>
      </c>
    </row>
    <row r="81" spans="1:31">
      <c r="A81" s="3" t="s">
        <v>26</v>
      </c>
      <c r="B81" s="41">
        <f t="shared" ref="B81:Q81" si="25">B54/B$50</f>
        <v>0.55555555555555558</v>
      </c>
      <c r="C81" s="39">
        <f t="shared" si="25"/>
        <v>0.50877192982456143</v>
      </c>
      <c r="D81" s="39">
        <f t="shared" si="25"/>
        <v>0.46428571428571436</v>
      </c>
      <c r="E81" s="39">
        <f t="shared" si="25"/>
        <v>0.46511627906976744</v>
      </c>
      <c r="F81" s="39">
        <f t="shared" si="25"/>
        <v>0.47222222222222227</v>
      </c>
      <c r="G81" s="39">
        <f t="shared" si="25"/>
        <v>0.46341463414634154</v>
      </c>
      <c r="H81" s="39">
        <f t="shared" si="25"/>
        <v>0.49999999999999994</v>
      </c>
      <c r="I81" s="40">
        <f t="shared" si="25"/>
        <v>0.45945945945945943</v>
      </c>
      <c r="J81" s="41">
        <f t="shared" si="25"/>
        <v>0.7727272727272726</v>
      </c>
      <c r="K81" s="39">
        <f t="shared" si="25"/>
        <v>0.63157894736842113</v>
      </c>
      <c r="L81" s="39">
        <f t="shared" si="25"/>
        <v>0.70588235294117652</v>
      </c>
      <c r="M81" s="39">
        <f t="shared" si="25"/>
        <v>0.57407407407407407</v>
      </c>
      <c r="N81" s="39">
        <f t="shared" si="25"/>
        <v>0.73333333333333339</v>
      </c>
      <c r="O81" s="39">
        <f t="shared" si="25"/>
        <v>0.83333333333333337</v>
      </c>
      <c r="P81" s="39">
        <f t="shared" si="25"/>
        <v>0.85185185185185175</v>
      </c>
      <c r="Q81" s="40">
        <f t="shared" si="25"/>
        <v>0.72500000000000009</v>
      </c>
      <c r="R81" s="41">
        <f t="shared" ref="R81:AE81" si="26">R54/R$50</f>
        <v>0.67346938775510212</v>
      </c>
      <c r="S81" s="39">
        <f t="shared" si="26"/>
        <v>0.80681818181818188</v>
      </c>
      <c r="T81" s="39">
        <f t="shared" si="26"/>
        <v>0.81967213114754101</v>
      </c>
      <c r="U81" s="39">
        <f t="shared" si="26"/>
        <v>0.81632653061224503</v>
      </c>
      <c r="V81" s="39">
        <f t="shared" si="26"/>
        <v>0.7</v>
      </c>
      <c r="W81" s="40">
        <f t="shared" si="26"/>
        <v>0.78125</v>
      </c>
      <c r="X81" s="41">
        <f t="shared" si="26"/>
        <v>0.97368421052631593</v>
      </c>
      <c r="Y81" s="39">
        <f t="shared" si="26"/>
        <v>0.85454545454545461</v>
      </c>
      <c r="Z81" s="39">
        <f t="shared" si="26"/>
        <v>0.91111111111111098</v>
      </c>
      <c r="AA81" s="39">
        <f t="shared" si="26"/>
        <v>0.94285714285714284</v>
      </c>
      <c r="AB81" s="39">
        <f t="shared" si="26"/>
        <v>0.75862068965517238</v>
      </c>
      <c r="AC81" s="39">
        <f t="shared" si="26"/>
        <v>0.70454545454545459</v>
      </c>
      <c r="AD81" s="39">
        <f t="shared" si="26"/>
        <v>0.87755102040816335</v>
      </c>
      <c r="AE81" s="40">
        <f t="shared" si="26"/>
        <v>0.89473684210526305</v>
      </c>
    </row>
    <row r="82" spans="1:31">
      <c r="A82" s="3" t="s">
        <v>27</v>
      </c>
      <c r="B82" s="41">
        <f t="shared" ref="B82:Q82" si="27">B55/B$50</f>
        <v>0.50000000000000011</v>
      </c>
      <c r="C82" s="39">
        <f t="shared" si="27"/>
        <v>0.50877192982456143</v>
      </c>
      <c r="D82" s="39">
        <f t="shared" si="27"/>
        <v>0.35714285714285715</v>
      </c>
      <c r="E82" s="39">
        <f t="shared" si="27"/>
        <v>0.46511627906976744</v>
      </c>
      <c r="F82" s="39">
        <f t="shared" si="27"/>
        <v>0.4166666666666668</v>
      </c>
      <c r="G82" s="39">
        <f t="shared" si="27"/>
        <v>0.46341463414634154</v>
      </c>
      <c r="H82" s="39">
        <f t="shared" si="27"/>
        <v>0.49999999999999994</v>
      </c>
      <c r="I82" s="40">
        <f t="shared" si="27"/>
        <v>0.48648648648648646</v>
      </c>
      <c r="J82" s="41">
        <f t="shared" si="27"/>
        <v>0.54545454545454541</v>
      </c>
      <c r="K82" s="39">
        <f t="shared" si="27"/>
        <v>0.60526315789473684</v>
      </c>
      <c r="L82" s="39">
        <f t="shared" si="27"/>
        <v>0.76470588235294124</v>
      </c>
      <c r="M82" s="39">
        <f t="shared" si="27"/>
        <v>0.48148148148148145</v>
      </c>
      <c r="N82" s="39">
        <f t="shared" si="27"/>
        <v>0.69999999999999984</v>
      </c>
      <c r="O82" s="39">
        <f t="shared" si="27"/>
        <v>0.76666666666666661</v>
      </c>
      <c r="P82" s="39">
        <f t="shared" si="27"/>
        <v>0.70370370370370372</v>
      </c>
      <c r="Q82" s="40">
        <f t="shared" si="27"/>
        <v>0.625</v>
      </c>
      <c r="R82" s="41">
        <f t="shared" ref="R82:AE82" si="28">R55/R$50</f>
        <v>0.71428571428571441</v>
      </c>
      <c r="S82" s="39">
        <f t="shared" si="28"/>
        <v>0.79545454545454553</v>
      </c>
      <c r="T82" s="39">
        <f t="shared" si="28"/>
        <v>0.78688524590163933</v>
      </c>
      <c r="U82" s="39">
        <f t="shared" si="28"/>
        <v>0.79591836734693877</v>
      </c>
      <c r="V82" s="39">
        <f t="shared" si="28"/>
        <v>0.72</v>
      </c>
      <c r="W82" s="40">
        <f t="shared" si="28"/>
        <v>0.81249999999999989</v>
      </c>
      <c r="X82" s="41">
        <f t="shared" si="28"/>
        <v>0.78947368421052633</v>
      </c>
      <c r="Y82" s="39">
        <f t="shared" si="28"/>
        <v>0.72727272727272729</v>
      </c>
      <c r="Z82" s="39">
        <f t="shared" si="28"/>
        <v>0.79999999999999993</v>
      </c>
      <c r="AA82" s="39">
        <f t="shared" si="28"/>
        <v>0.7857142857142857</v>
      </c>
      <c r="AB82" s="39">
        <f t="shared" si="28"/>
        <v>0.65517241379310343</v>
      </c>
      <c r="AC82" s="39">
        <f t="shared" si="28"/>
        <v>0.88636363636363635</v>
      </c>
      <c r="AD82" s="39">
        <f t="shared" si="28"/>
        <v>0.73469387755102045</v>
      </c>
      <c r="AE82" s="40">
        <f t="shared" si="28"/>
        <v>0.76315789473684226</v>
      </c>
    </row>
    <row r="83" spans="1:31">
      <c r="A83" s="3" t="s">
        <v>28</v>
      </c>
      <c r="B83" s="41">
        <f t="shared" ref="B83:Q83" si="29">B56/B$50</f>
        <v>0.61111111111111116</v>
      </c>
      <c r="C83" s="39">
        <f t="shared" si="29"/>
        <v>0.47368421052631582</v>
      </c>
      <c r="D83" s="39">
        <f t="shared" si="29"/>
        <v>0.4285714285714286</v>
      </c>
      <c r="E83" s="39">
        <f t="shared" si="29"/>
        <v>0.44186046511627913</v>
      </c>
      <c r="F83" s="39">
        <f t="shared" si="29"/>
        <v>0.44444444444444448</v>
      </c>
      <c r="G83" s="39">
        <f t="shared" si="29"/>
        <v>0.5</v>
      </c>
      <c r="H83" s="39">
        <f t="shared" si="29"/>
        <v>0.46875000000000006</v>
      </c>
      <c r="I83" s="40">
        <f t="shared" si="29"/>
        <v>0.47297297297297303</v>
      </c>
      <c r="J83" s="41">
        <f t="shared" si="29"/>
        <v>0.59090909090909083</v>
      </c>
      <c r="K83" s="39">
        <f t="shared" si="29"/>
        <v>0.63157894736842113</v>
      </c>
      <c r="L83" s="39">
        <f t="shared" si="29"/>
        <v>0.91176470588235303</v>
      </c>
      <c r="M83" s="39">
        <f t="shared" si="29"/>
        <v>0.5370370370370372</v>
      </c>
      <c r="N83" s="39">
        <f t="shared" si="29"/>
        <v>0.73333333333333339</v>
      </c>
      <c r="O83" s="39">
        <f t="shared" si="29"/>
        <v>0.83333333333333337</v>
      </c>
      <c r="P83" s="39">
        <f t="shared" si="29"/>
        <v>0.62962962962962954</v>
      </c>
      <c r="Q83" s="40">
        <f t="shared" si="29"/>
        <v>0.64999999999999991</v>
      </c>
      <c r="R83" s="41">
        <f t="shared" ref="R83:AE83" si="30">R56/R$50</f>
        <v>0.73469387755102045</v>
      </c>
      <c r="S83" s="39">
        <f t="shared" si="30"/>
        <v>0.77272727272727271</v>
      </c>
      <c r="T83" s="39">
        <f t="shared" si="30"/>
        <v>0.88524590163934425</v>
      </c>
      <c r="U83" s="39">
        <f t="shared" si="30"/>
        <v>0.81632653061224503</v>
      </c>
      <c r="V83" s="39">
        <f t="shared" si="30"/>
        <v>0.74</v>
      </c>
      <c r="W83" s="40">
        <f t="shared" si="30"/>
        <v>0.79687499999999989</v>
      </c>
      <c r="X83" s="41">
        <f t="shared" si="30"/>
        <v>0.81578947368421051</v>
      </c>
      <c r="Y83" s="39">
        <f t="shared" si="30"/>
        <v>0.72727272727272729</v>
      </c>
      <c r="Z83" s="39">
        <f t="shared" si="30"/>
        <v>0.77777777777777779</v>
      </c>
      <c r="AA83" s="39">
        <f t="shared" si="30"/>
        <v>0.79999999999999993</v>
      </c>
      <c r="AB83" s="39">
        <f t="shared" si="30"/>
        <v>0.70689655172413779</v>
      </c>
      <c r="AC83" s="39">
        <f t="shared" si="30"/>
        <v>0.93181818181818188</v>
      </c>
      <c r="AD83" s="39">
        <f t="shared" si="30"/>
        <v>0.77551020408163274</v>
      </c>
      <c r="AE83" s="40">
        <f t="shared" si="30"/>
        <v>0.78947368421052633</v>
      </c>
    </row>
    <row r="84" spans="1:31">
      <c r="A84" s="3" t="s">
        <v>29</v>
      </c>
      <c r="B84" s="41">
        <f t="shared" ref="B84:Q84" si="31">B57/B$50</f>
        <v>0.50000000000000011</v>
      </c>
      <c r="C84" s="39">
        <f t="shared" si="31"/>
        <v>0.4561403508771929</v>
      </c>
      <c r="D84" s="39">
        <f t="shared" si="31"/>
        <v>0.32142857142857151</v>
      </c>
      <c r="E84" s="39">
        <f t="shared" si="31"/>
        <v>0.39534883720930231</v>
      </c>
      <c r="F84" s="39">
        <f t="shared" si="31"/>
        <v>0.44444444444444448</v>
      </c>
      <c r="G84" s="39">
        <f t="shared" si="31"/>
        <v>0.3902439024390244</v>
      </c>
      <c r="H84" s="39">
        <f t="shared" si="31"/>
        <v>0.40625</v>
      </c>
      <c r="I84" s="40">
        <f t="shared" si="31"/>
        <v>0.3783783783783784</v>
      </c>
      <c r="J84" s="41">
        <f t="shared" si="31"/>
        <v>0.59090909090909083</v>
      </c>
      <c r="K84" s="39">
        <f t="shared" si="31"/>
        <v>0.63157894736842113</v>
      </c>
      <c r="L84" s="39">
        <f t="shared" si="31"/>
        <v>0.6470588235294118</v>
      </c>
      <c r="M84" s="39">
        <f t="shared" si="31"/>
        <v>0.5370370370370372</v>
      </c>
      <c r="N84" s="39">
        <f t="shared" si="31"/>
        <v>0.7533333333333333</v>
      </c>
      <c r="O84" s="39">
        <f t="shared" si="31"/>
        <v>0.83333333333333337</v>
      </c>
      <c r="P84" s="39">
        <f t="shared" si="31"/>
        <v>0.77777777777777757</v>
      </c>
      <c r="Q84" s="40">
        <f t="shared" si="31"/>
        <v>0.625</v>
      </c>
      <c r="R84" s="41">
        <f t="shared" ref="R84:AE84" si="32">R57/R$50</f>
        <v>0.62448979591836729</v>
      </c>
      <c r="S84" s="39">
        <f t="shared" si="32"/>
        <v>0.75</v>
      </c>
      <c r="T84" s="39">
        <f t="shared" si="32"/>
        <v>0.73770491803278693</v>
      </c>
      <c r="U84" s="39">
        <f t="shared" si="32"/>
        <v>0.79591836734693877</v>
      </c>
      <c r="V84" s="39">
        <f t="shared" si="32"/>
        <v>0.72</v>
      </c>
      <c r="W84" s="40">
        <f t="shared" si="32"/>
        <v>0.71874999999999989</v>
      </c>
      <c r="X84" s="41">
        <f t="shared" si="32"/>
        <v>0.94736842105263153</v>
      </c>
      <c r="Y84" s="39">
        <f t="shared" si="32"/>
        <v>0.83636363636363631</v>
      </c>
      <c r="Z84" s="39">
        <f t="shared" si="32"/>
        <v>0.93333333333333335</v>
      </c>
      <c r="AA84" s="39">
        <f t="shared" si="32"/>
        <v>0.97142857142857131</v>
      </c>
      <c r="AB84" s="39">
        <f t="shared" si="32"/>
        <v>0.72413793103448254</v>
      </c>
      <c r="AC84" s="39">
        <f t="shared" si="32"/>
        <v>0.52272727272727271</v>
      </c>
      <c r="AD84" s="39">
        <f t="shared" si="32"/>
        <v>0.85714285714285732</v>
      </c>
      <c r="AE84" s="40">
        <f t="shared" si="32"/>
        <v>0.8421052631578948</v>
      </c>
    </row>
    <row r="85" spans="1:31">
      <c r="A85" s="3" t="s">
        <v>30</v>
      </c>
      <c r="B85" s="41">
        <f t="shared" ref="B85:Q85" si="33">B58/B$50</f>
        <v>0.50000000000000011</v>
      </c>
      <c r="C85" s="39">
        <f t="shared" si="33"/>
        <v>0.43859649122807015</v>
      </c>
      <c r="D85" s="39">
        <f t="shared" si="33"/>
        <v>0.32142857142857151</v>
      </c>
      <c r="E85" s="39">
        <f t="shared" si="33"/>
        <v>0.39534883720930231</v>
      </c>
      <c r="F85" s="39">
        <f t="shared" si="33"/>
        <v>0.38888888888888895</v>
      </c>
      <c r="G85" s="39">
        <f t="shared" si="33"/>
        <v>0.3902439024390244</v>
      </c>
      <c r="H85" s="39">
        <f t="shared" si="33"/>
        <v>0.37499999999999994</v>
      </c>
      <c r="I85" s="40">
        <f t="shared" si="33"/>
        <v>0.35135135135135137</v>
      </c>
      <c r="J85" s="41">
        <f t="shared" si="33"/>
        <v>0.40909090909090912</v>
      </c>
      <c r="K85" s="39">
        <f t="shared" si="33"/>
        <v>0.47368421052631582</v>
      </c>
      <c r="L85" s="39">
        <f t="shared" si="33"/>
        <v>0.52941176470588247</v>
      </c>
      <c r="M85" s="39">
        <f t="shared" si="33"/>
        <v>0.46296296296296302</v>
      </c>
      <c r="N85" s="39">
        <f t="shared" si="33"/>
        <v>0.66666666666666663</v>
      </c>
      <c r="O85" s="39">
        <f t="shared" si="33"/>
        <v>0.83333333333333337</v>
      </c>
      <c r="P85" s="39">
        <f t="shared" si="33"/>
        <v>0.66666666666666663</v>
      </c>
      <c r="Q85" s="40">
        <f t="shared" si="33"/>
        <v>0.625</v>
      </c>
      <c r="R85" s="41">
        <f t="shared" ref="R85:AE85" si="34">R58/R$50</f>
        <v>0.65306122448979598</v>
      </c>
      <c r="S85" s="39">
        <f t="shared" si="34"/>
        <v>0.70454545454545459</v>
      </c>
      <c r="T85" s="39">
        <f t="shared" si="34"/>
        <v>0.88524590163934425</v>
      </c>
      <c r="U85" s="39">
        <f t="shared" si="34"/>
        <v>0.87755102040816335</v>
      </c>
      <c r="V85" s="39">
        <f t="shared" si="34"/>
        <v>0.72</v>
      </c>
      <c r="W85" s="40">
        <f t="shared" si="34"/>
        <v>0.71874999999999989</v>
      </c>
      <c r="X85" s="41">
        <f t="shared" si="34"/>
        <v>0.86842105263157898</v>
      </c>
      <c r="Y85" s="39">
        <f t="shared" si="34"/>
        <v>0.79999999999999993</v>
      </c>
      <c r="Z85" s="39">
        <f t="shared" si="34"/>
        <v>0.86666666666666659</v>
      </c>
      <c r="AA85" s="39">
        <f t="shared" si="34"/>
        <v>0.82857142857142863</v>
      </c>
      <c r="AB85" s="39">
        <f t="shared" si="34"/>
        <v>0.58620689655172409</v>
      </c>
      <c r="AC85" s="39">
        <f t="shared" si="34"/>
        <v>0.45454545454545459</v>
      </c>
      <c r="AD85" s="39">
        <f t="shared" si="34"/>
        <v>0.73469387755102045</v>
      </c>
      <c r="AE85" s="40">
        <f t="shared" si="34"/>
        <v>0.73684210526315785</v>
      </c>
    </row>
    <row r="86" spans="1:31">
      <c r="A86" s="3" t="s">
        <v>34</v>
      </c>
      <c r="B86" s="41">
        <f t="shared" ref="B86:Q86" si="35">B59/B$50</f>
        <v>0.50000000000000011</v>
      </c>
      <c r="C86" s="39">
        <f t="shared" si="35"/>
        <v>0.40350877192982454</v>
      </c>
      <c r="D86" s="39">
        <f t="shared" si="35"/>
        <v>0.32142857142857151</v>
      </c>
      <c r="E86" s="39">
        <f t="shared" si="35"/>
        <v>0.37209302325581395</v>
      </c>
      <c r="F86" s="39">
        <f t="shared" si="35"/>
        <v>0.4166666666666668</v>
      </c>
      <c r="G86" s="39">
        <f t="shared" si="35"/>
        <v>0.34146341463414642</v>
      </c>
      <c r="H86" s="39">
        <f t="shared" si="35"/>
        <v>0.4375</v>
      </c>
      <c r="I86" s="40">
        <f t="shared" si="35"/>
        <v>0.40540540540540543</v>
      </c>
      <c r="J86" s="41">
        <f t="shared" si="35"/>
        <v>0.68181818181818188</v>
      </c>
      <c r="K86" s="39">
        <f t="shared" si="35"/>
        <v>0.55263157894736836</v>
      </c>
      <c r="L86" s="39">
        <f t="shared" si="35"/>
        <v>0.6470588235294118</v>
      </c>
      <c r="M86" s="39">
        <f t="shared" si="35"/>
        <v>0.5370370370370372</v>
      </c>
      <c r="N86" s="39">
        <f t="shared" si="35"/>
        <v>0.80000000000000016</v>
      </c>
      <c r="O86" s="39">
        <f t="shared" si="35"/>
        <v>0.96666666666666679</v>
      </c>
      <c r="P86" s="39">
        <f t="shared" si="35"/>
        <v>0.7407407407407407</v>
      </c>
      <c r="Q86" s="40">
        <f t="shared" si="35"/>
        <v>0.7</v>
      </c>
      <c r="R86" s="41">
        <f t="shared" ref="R86:AE86" si="36">R59/R$50</f>
        <v>0.60204081632653073</v>
      </c>
      <c r="S86" s="39">
        <f t="shared" si="36"/>
        <v>0.67500000000000004</v>
      </c>
      <c r="T86" s="39">
        <f t="shared" si="36"/>
        <v>0.88524590163934425</v>
      </c>
      <c r="U86" s="39">
        <f t="shared" si="36"/>
        <v>0.83673469387755106</v>
      </c>
      <c r="V86" s="39">
        <f t="shared" si="36"/>
        <v>0.77999999999999992</v>
      </c>
      <c r="W86" s="40">
        <f t="shared" si="36"/>
        <v>0.75000000000000011</v>
      </c>
      <c r="X86" s="41">
        <f t="shared" si="36"/>
        <v>1.0526315789473684</v>
      </c>
      <c r="Y86" s="39">
        <f t="shared" si="36"/>
        <v>0.94545454545454544</v>
      </c>
      <c r="Z86" s="39">
        <f t="shared" si="36"/>
        <v>1.1555555555555557</v>
      </c>
      <c r="AA86" s="39">
        <f t="shared" si="36"/>
        <v>1</v>
      </c>
      <c r="AB86" s="39">
        <f t="shared" si="36"/>
        <v>0.68965517241379304</v>
      </c>
      <c r="AC86" s="39">
        <f t="shared" si="36"/>
        <v>0.75</v>
      </c>
      <c r="AD86" s="39">
        <f t="shared" si="36"/>
        <v>0.89795918367346939</v>
      </c>
      <c r="AE86" s="40">
        <f t="shared" si="36"/>
        <v>1</v>
      </c>
    </row>
    <row r="87" spans="1:31">
      <c r="A87" s="3" t="s">
        <v>35</v>
      </c>
      <c r="B87" s="41">
        <f t="shared" ref="B87:Q87" si="37">B60/B$50</f>
        <v>0.50000000000000011</v>
      </c>
      <c r="C87" s="39">
        <f t="shared" si="37"/>
        <v>0.40350877192982454</v>
      </c>
      <c r="D87" s="39">
        <f t="shared" si="37"/>
        <v>0.17857142857142858</v>
      </c>
      <c r="E87" s="39">
        <f t="shared" si="37"/>
        <v>0.39534883720930231</v>
      </c>
      <c r="F87" s="39">
        <f t="shared" si="37"/>
        <v>0.36111111111111116</v>
      </c>
      <c r="G87" s="39">
        <f t="shared" si="37"/>
        <v>0.36585365853658547</v>
      </c>
      <c r="H87" s="39">
        <f t="shared" si="37"/>
        <v>0.37499999999999994</v>
      </c>
      <c r="I87" s="40">
        <f t="shared" si="37"/>
        <v>0.32432432432432429</v>
      </c>
      <c r="J87" s="41">
        <f t="shared" si="37"/>
        <v>0.5</v>
      </c>
      <c r="K87" s="39">
        <f t="shared" si="37"/>
        <v>0.47368421052631582</v>
      </c>
      <c r="L87" s="39">
        <f t="shared" si="37"/>
        <v>0.52941176470588247</v>
      </c>
      <c r="M87" s="39">
        <f t="shared" si="37"/>
        <v>0.50000000000000011</v>
      </c>
      <c r="N87" s="39">
        <f t="shared" si="37"/>
        <v>0.6</v>
      </c>
      <c r="O87" s="39">
        <f t="shared" si="37"/>
        <v>0.80000000000000016</v>
      </c>
      <c r="P87" s="39">
        <f t="shared" si="37"/>
        <v>0.51851851851851849</v>
      </c>
      <c r="Q87" s="40">
        <f t="shared" si="37"/>
        <v>0.52499999999999991</v>
      </c>
      <c r="R87" s="41">
        <f t="shared" ref="R87:W87" si="38">R60/R$50</f>
        <v>0.77551020408163274</v>
      </c>
      <c r="S87" s="39">
        <f t="shared" si="38"/>
        <v>0.77272727272727271</v>
      </c>
      <c r="T87" s="39">
        <f t="shared" si="38"/>
        <v>0.98360655737704927</v>
      </c>
      <c r="U87" s="39">
        <f t="shared" si="38"/>
        <v>0.87755102040816335</v>
      </c>
      <c r="V87" s="39">
        <f t="shared" si="38"/>
        <v>0.82</v>
      </c>
      <c r="W87" s="40">
        <f t="shared" si="38"/>
        <v>0.84375</v>
      </c>
      <c r="X87" s="41">
        <f t="shared" ref="X87:AE91" si="39">X60/X$50</f>
        <v>1</v>
      </c>
      <c r="Y87" s="39">
        <f t="shared" si="39"/>
        <v>0.41818181818181815</v>
      </c>
      <c r="Z87" s="39">
        <f t="shared" si="39"/>
        <v>0.95555555555555549</v>
      </c>
      <c r="AA87" s="39">
        <f t="shared" si="39"/>
        <v>0.8571428571428571</v>
      </c>
      <c r="AB87" s="39">
        <f t="shared" si="39"/>
        <v>0.65517241379310343</v>
      </c>
      <c r="AC87" s="39">
        <f t="shared" si="39"/>
        <v>0.45454545454545459</v>
      </c>
      <c r="AD87" s="39">
        <f t="shared" si="39"/>
        <v>0.77551020408163274</v>
      </c>
      <c r="AE87" s="40">
        <f t="shared" si="39"/>
        <v>0.81578947368421051</v>
      </c>
    </row>
    <row r="88" spans="1:31">
      <c r="A88" s="3" t="s">
        <v>36</v>
      </c>
      <c r="B88" s="41">
        <f t="shared" ref="B88:Q88" si="40">B61/B$50</f>
        <v>0.50000000000000011</v>
      </c>
      <c r="C88" s="39">
        <f t="shared" si="40"/>
        <v>0.4561403508771929</v>
      </c>
      <c r="D88" s="39">
        <f t="shared" si="40"/>
        <v>0.21428571428571433</v>
      </c>
      <c r="E88" s="39">
        <f t="shared" si="40"/>
        <v>0.39534883720930231</v>
      </c>
      <c r="F88" s="39">
        <f t="shared" si="40"/>
        <v>0.38888888888888895</v>
      </c>
      <c r="G88" s="39">
        <f t="shared" si="40"/>
        <v>0.3902439024390244</v>
      </c>
      <c r="H88" s="39">
        <f t="shared" si="40"/>
        <v>0.40625</v>
      </c>
      <c r="I88" s="40">
        <f t="shared" si="40"/>
        <v>0.35135135135135137</v>
      </c>
      <c r="J88" s="41">
        <f t="shared" si="40"/>
        <v>0.52727272727272734</v>
      </c>
      <c r="K88" s="39">
        <f t="shared" si="40"/>
        <v>0.23684210526315794</v>
      </c>
      <c r="L88" s="39">
        <f t="shared" si="40"/>
        <v>0.76470588235294124</v>
      </c>
      <c r="M88" s="39">
        <f t="shared" si="40"/>
        <v>0.56481481481481488</v>
      </c>
      <c r="N88" s="39">
        <f t="shared" si="40"/>
        <v>0.83333333333333337</v>
      </c>
      <c r="O88" s="39">
        <f t="shared" si="40"/>
        <v>1.05</v>
      </c>
      <c r="P88" s="39">
        <f t="shared" si="40"/>
        <v>0.70370370370370372</v>
      </c>
      <c r="Q88" s="40">
        <f t="shared" si="40"/>
        <v>0.64999999999999991</v>
      </c>
      <c r="R88" s="41">
        <f t="shared" ref="R88:W88" si="41">R61/R$50</f>
        <v>0.77551020408163274</v>
      </c>
      <c r="S88" s="39">
        <f t="shared" si="41"/>
        <v>0.75</v>
      </c>
      <c r="T88" s="39">
        <f t="shared" si="41"/>
        <v>1.0491803278688525</v>
      </c>
      <c r="U88" s="39">
        <f t="shared" si="41"/>
        <v>0.93877551020408168</v>
      </c>
      <c r="V88" s="39">
        <f t="shared" si="41"/>
        <v>0.87999999999999989</v>
      </c>
      <c r="W88" s="40">
        <f t="shared" si="41"/>
        <v>0.84375</v>
      </c>
      <c r="X88" s="41">
        <f t="shared" si="39"/>
        <v>1.0526315789473684</v>
      </c>
      <c r="Y88" s="39">
        <f t="shared" si="39"/>
        <v>1</v>
      </c>
      <c r="Z88" s="39">
        <f t="shared" si="39"/>
        <v>1.2444444444444445</v>
      </c>
      <c r="AA88" s="39">
        <f t="shared" si="39"/>
        <v>1.0857142857142856</v>
      </c>
      <c r="AB88" s="39">
        <f t="shared" si="39"/>
        <v>0.68965517241379304</v>
      </c>
      <c r="AC88" s="39">
        <f t="shared" si="39"/>
        <v>0.47727272727272724</v>
      </c>
      <c r="AD88" s="39">
        <f t="shared" si="39"/>
        <v>0.93061224489795924</v>
      </c>
      <c r="AE88" s="40">
        <f t="shared" si="39"/>
        <v>0.92105263157894746</v>
      </c>
    </row>
    <row r="89" spans="1:31">
      <c r="A89" s="3" t="s">
        <v>37</v>
      </c>
      <c r="B89" s="41">
        <f t="shared" ref="B89:Q89" si="42">B62/B$50</f>
        <v>0.50000000000000011</v>
      </c>
      <c r="C89" s="39">
        <f t="shared" si="42"/>
        <v>0.47368421052631582</v>
      </c>
      <c r="D89" s="39">
        <f t="shared" si="42"/>
        <v>0.17857142857142858</v>
      </c>
      <c r="E89" s="39">
        <f t="shared" si="42"/>
        <v>0.41860465116279072</v>
      </c>
      <c r="F89" s="39">
        <f t="shared" si="42"/>
        <v>0.38888888888888895</v>
      </c>
      <c r="G89" s="39">
        <f t="shared" si="42"/>
        <v>0.36585365853658547</v>
      </c>
      <c r="H89" s="39">
        <f t="shared" si="42"/>
        <v>0.45625000000000004</v>
      </c>
      <c r="I89" s="40">
        <f t="shared" si="42"/>
        <v>0.40540540540540543</v>
      </c>
      <c r="J89" s="41">
        <f t="shared" si="42"/>
        <v>0.43181818181818177</v>
      </c>
      <c r="K89" s="39">
        <f t="shared" si="42"/>
        <v>0.52631578947368418</v>
      </c>
      <c r="L89" s="39">
        <f t="shared" si="42"/>
        <v>0.55882352941176472</v>
      </c>
      <c r="M89" s="39">
        <f t="shared" si="42"/>
        <v>0.47222222222222221</v>
      </c>
      <c r="N89" s="39">
        <f t="shared" si="42"/>
        <v>0.62333333333333329</v>
      </c>
      <c r="O89" s="39">
        <f t="shared" si="42"/>
        <v>0.86666666666666659</v>
      </c>
      <c r="P89" s="39">
        <f t="shared" si="42"/>
        <v>0.55555555555555558</v>
      </c>
      <c r="Q89" s="40">
        <f t="shared" si="42"/>
        <v>0.54249999999999998</v>
      </c>
      <c r="R89" s="41">
        <f t="shared" ref="R89:W89" si="43">R62/R$50</f>
        <v>0.76530612244897966</v>
      </c>
      <c r="S89" s="39">
        <f t="shared" si="43"/>
        <v>0.88636363636363635</v>
      </c>
      <c r="T89" s="39">
        <f t="shared" si="43"/>
        <v>1.1147540983606559</v>
      </c>
      <c r="U89" s="39">
        <f t="shared" si="43"/>
        <v>0.93877551020408168</v>
      </c>
      <c r="V89" s="39">
        <f t="shared" si="43"/>
        <v>0.94000000000000006</v>
      </c>
      <c r="W89" s="40">
        <f t="shared" si="43"/>
        <v>0.90625000000000011</v>
      </c>
      <c r="X89" s="41">
        <f t="shared" si="39"/>
        <v>0.89473684210526305</v>
      </c>
      <c r="Y89" s="39">
        <f t="shared" si="39"/>
        <v>0.89090909090909076</v>
      </c>
      <c r="Z89" s="39">
        <f t="shared" si="39"/>
        <v>1.1555555555555557</v>
      </c>
      <c r="AA89" s="39">
        <f t="shared" si="39"/>
        <v>0.94285714285714284</v>
      </c>
      <c r="AB89" s="39">
        <f t="shared" si="39"/>
        <v>0.17241379310344826</v>
      </c>
      <c r="AC89" s="39">
        <f t="shared" si="39"/>
        <v>0.44318181818181823</v>
      </c>
      <c r="AD89" s="39">
        <f t="shared" si="39"/>
        <v>0.79591836734693877</v>
      </c>
      <c r="AE89" s="40">
        <f t="shared" si="39"/>
        <v>0.76315789473684226</v>
      </c>
    </row>
    <row r="90" spans="1:31">
      <c r="A90" s="3" t="s">
        <v>38</v>
      </c>
      <c r="B90" s="41">
        <f t="shared" ref="B90:W90" si="44">B63/B$50</f>
        <v>0.50000000000000011</v>
      </c>
      <c r="C90" s="39">
        <f t="shared" si="44"/>
        <v>0.54385964912280693</v>
      </c>
      <c r="D90" s="39">
        <f t="shared" si="44"/>
        <v>0.17857142857142858</v>
      </c>
      <c r="E90" s="39">
        <f t="shared" si="44"/>
        <v>0.44186046511627913</v>
      </c>
      <c r="F90" s="39">
        <f t="shared" si="44"/>
        <v>0.4166666666666668</v>
      </c>
      <c r="G90" s="39">
        <f t="shared" si="44"/>
        <v>0.36585365853658547</v>
      </c>
      <c r="H90" s="39">
        <f t="shared" si="44"/>
        <v>0.53125</v>
      </c>
      <c r="I90" s="40">
        <f t="shared" si="44"/>
        <v>0.3783783783783784</v>
      </c>
      <c r="J90" s="41">
        <f t="shared" si="44"/>
        <v>0.59090909090909083</v>
      </c>
      <c r="K90" s="39">
        <f t="shared" si="44"/>
        <v>0.52631578947368418</v>
      </c>
      <c r="L90" s="39">
        <f t="shared" si="44"/>
        <v>0.6470588235294118</v>
      </c>
      <c r="M90" s="39">
        <f t="shared" si="44"/>
        <v>0.58333333333333348</v>
      </c>
      <c r="N90" s="39">
        <f t="shared" si="44"/>
        <v>0.9</v>
      </c>
      <c r="O90" s="39">
        <f t="shared" si="44"/>
        <v>1.1333333333333331</v>
      </c>
      <c r="P90" s="39">
        <f t="shared" si="44"/>
        <v>0.70370370370370372</v>
      </c>
      <c r="Q90" s="40">
        <f t="shared" si="44"/>
        <v>0.67500000000000004</v>
      </c>
      <c r="R90" s="41">
        <f t="shared" si="44"/>
        <v>0.7551020408163267</v>
      </c>
      <c r="S90" s="39">
        <f t="shared" si="44"/>
        <v>0.86363636363636365</v>
      </c>
      <c r="T90" s="39">
        <f t="shared" si="44"/>
        <v>1.2459016393442623</v>
      </c>
      <c r="U90" s="39">
        <f t="shared" si="44"/>
        <v>0.96938775510204089</v>
      </c>
      <c r="V90" s="39">
        <f t="shared" si="44"/>
        <v>1.02</v>
      </c>
      <c r="W90" s="40">
        <f t="shared" si="44"/>
        <v>1.0312499999999998</v>
      </c>
      <c r="X90" s="41">
        <f t="shared" si="39"/>
        <v>1.0526315789473684</v>
      </c>
      <c r="Y90" s="39">
        <f t="shared" si="39"/>
        <v>1.3090909090909091</v>
      </c>
      <c r="Z90" s="39">
        <f t="shared" si="39"/>
        <v>1.3644444444444443</v>
      </c>
      <c r="AA90" s="39">
        <f t="shared" si="39"/>
        <v>1.1142857142857141</v>
      </c>
      <c r="AB90" s="39">
        <f t="shared" si="39"/>
        <v>0.72413793103448254</v>
      </c>
      <c r="AC90" s="39">
        <f t="shared" si="39"/>
        <v>0.52272727272727271</v>
      </c>
      <c r="AD90" s="39">
        <f t="shared" si="39"/>
        <v>0.93877551020408168</v>
      </c>
      <c r="AE90" s="40">
        <f t="shared" si="39"/>
        <v>0.86842105263157898</v>
      </c>
    </row>
    <row r="91" spans="1:31">
      <c r="A91" s="3" t="s">
        <v>39</v>
      </c>
      <c r="B91" s="41">
        <f t="shared" ref="B91:W91" si="45">B64/B$50</f>
        <v>0.50000000000000011</v>
      </c>
      <c r="C91" s="39">
        <f t="shared" si="45"/>
        <v>0.54385964912280693</v>
      </c>
      <c r="D91" s="39">
        <f t="shared" si="45"/>
        <v>0.17857142857142858</v>
      </c>
      <c r="E91" s="39">
        <f t="shared" si="45"/>
        <v>0.41860465116279072</v>
      </c>
      <c r="F91" s="39">
        <f t="shared" si="45"/>
        <v>0.4166666666666668</v>
      </c>
      <c r="G91" s="39">
        <f t="shared" si="45"/>
        <v>0.3902439024390244</v>
      </c>
      <c r="H91" s="39">
        <f t="shared" si="45"/>
        <v>0.4375</v>
      </c>
      <c r="I91" s="40">
        <f t="shared" si="45"/>
        <v>0.41891891891891891</v>
      </c>
      <c r="J91" s="41">
        <f t="shared" si="45"/>
        <v>0.45454545454545453</v>
      </c>
      <c r="K91" s="39">
        <f t="shared" si="45"/>
        <v>0.44736842105263158</v>
      </c>
      <c r="L91" s="39">
        <f t="shared" si="45"/>
        <v>0.4705882352941177</v>
      </c>
      <c r="M91" s="39">
        <f t="shared" si="45"/>
        <v>0.5370370370370372</v>
      </c>
      <c r="N91" s="39">
        <f t="shared" si="45"/>
        <v>0.73333333333333339</v>
      </c>
      <c r="O91" s="39">
        <f t="shared" si="45"/>
        <v>1.05</v>
      </c>
      <c r="P91" s="39">
        <f t="shared" si="45"/>
        <v>0.62962962962962954</v>
      </c>
      <c r="Q91" s="40">
        <f t="shared" si="45"/>
        <v>0.64999999999999991</v>
      </c>
      <c r="R91" s="41">
        <f t="shared" si="45"/>
        <v>0.79591836734693877</v>
      </c>
      <c r="S91" s="39">
        <f t="shared" si="45"/>
        <v>0.88636363636363635</v>
      </c>
      <c r="T91" s="39">
        <f t="shared" si="45"/>
        <v>1.4262295081967216</v>
      </c>
      <c r="U91" s="39">
        <f t="shared" si="45"/>
        <v>1.142857142857143</v>
      </c>
      <c r="V91" s="39">
        <f t="shared" si="45"/>
        <v>1.06</v>
      </c>
      <c r="W91" s="40">
        <f t="shared" si="45"/>
        <v>1.0624999999999998</v>
      </c>
      <c r="X91" s="41">
        <f t="shared" si="39"/>
        <v>0.97368421052631593</v>
      </c>
      <c r="Y91" s="39">
        <f t="shared" si="39"/>
        <v>0.9818181818181817</v>
      </c>
      <c r="Z91" s="39">
        <f t="shared" si="39"/>
        <v>1.4</v>
      </c>
      <c r="AA91" s="39">
        <f t="shared" si="39"/>
        <v>1.0571428571428572</v>
      </c>
      <c r="AB91" s="39">
        <f t="shared" si="39"/>
        <v>0.65517241379310343</v>
      </c>
      <c r="AC91" s="39">
        <f t="shared" si="39"/>
        <v>0.75</v>
      </c>
      <c r="AD91" s="39">
        <f t="shared" si="39"/>
        <v>0.83673469387755106</v>
      </c>
      <c r="AE91" s="40">
        <f t="shared" si="39"/>
        <v>0.78947368421052633</v>
      </c>
    </row>
    <row r="92" spans="1:31">
      <c r="A92" s="3" t="s">
        <v>40</v>
      </c>
      <c r="B92" s="41">
        <f t="shared" ref="B92:AE92" si="46">B65/B$50</f>
        <v>0.50000000000000011</v>
      </c>
      <c r="C92" s="39">
        <f t="shared" si="46"/>
        <v>0.66315789473684217</v>
      </c>
      <c r="D92" s="39">
        <f t="shared" si="46"/>
        <v>0.17857142857142858</v>
      </c>
      <c r="E92" s="39">
        <f t="shared" si="46"/>
        <v>0.48837209302325574</v>
      </c>
      <c r="F92" s="39">
        <f t="shared" si="46"/>
        <v>0.47222222222222227</v>
      </c>
      <c r="G92" s="39">
        <f t="shared" si="46"/>
        <v>0.45365853658536592</v>
      </c>
      <c r="H92" s="39">
        <f t="shared" si="46"/>
        <v>0.59375</v>
      </c>
      <c r="I92" s="40">
        <f t="shared" si="46"/>
        <v>0.51351351351351349</v>
      </c>
      <c r="J92" s="41">
        <f t="shared" si="46"/>
        <v>0.59090909090909083</v>
      </c>
      <c r="K92" s="39">
        <f t="shared" si="46"/>
        <v>0.52631578947368418</v>
      </c>
      <c r="L92" s="39">
        <f t="shared" si="46"/>
        <v>0.6470588235294118</v>
      </c>
      <c r="M92" s="39">
        <f t="shared" si="46"/>
        <v>0.70370370370370372</v>
      </c>
      <c r="N92" s="39">
        <f t="shared" si="46"/>
        <v>0.96666666666666679</v>
      </c>
      <c r="O92" s="39">
        <f t="shared" si="46"/>
        <v>1.3666666666666665</v>
      </c>
      <c r="P92" s="39">
        <f t="shared" si="46"/>
        <v>0.77777777777777757</v>
      </c>
      <c r="Q92" s="40">
        <f t="shared" si="46"/>
        <v>0.71750000000000003</v>
      </c>
      <c r="R92" s="41">
        <f t="shared" si="46"/>
        <v>0.81632653061224503</v>
      </c>
      <c r="S92" s="39">
        <f t="shared" si="46"/>
        <v>1</v>
      </c>
      <c r="T92" s="39">
        <f t="shared" si="46"/>
        <v>1.459016393442623</v>
      </c>
      <c r="U92" s="39">
        <f t="shared" si="46"/>
        <v>1.1224489795918369</v>
      </c>
      <c r="V92" s="39">
        <f t="shared" si="46"/>
        <v>1.18</v>
      </c>
      <c r="W92" s="40">
        <f t="shared" si="46"/>
        <v>1.25</v>
      </c>
      <c r="X92" s="41">
        <f t="shared" si="46"/>
        <v>1.1973684210526316</v>
      </c>
      <c r="Y92" s="39">
        <f t="shared" si="46"/>
        <v>1.2727272727272727</v>
      </c>
      <c r="Z92" s="39">
        <f t="shared" si="46"/>
        <v>1.6888888888888891</v>
      </c>
      <c r="AA92" s="39">
        <f t="shared" si="46"/>
        <v>1.3142857142857143</v>
      </c>
      <c r="AB92" s="39">
        <f t="shared" si="46"/>
        <v>0.79310344827586188</v>
      </c>
      <c r="AC92" s="39">
        <f t="shared" si="46"/>
        <v>0.59090909090909094</v>
      </c>
      <c r="AD92" s="39">
        <f t="shared" si="46"/>
        <v>1.0204081632653061</v>
      </c>
      <c r="AE92" s="40">
        <f t="shared" si="46"/>
        <v>1.0263157894736841</v>
      </c>
    </row>
    <row r="93" spans="1:31">
      <c r="A93" s="3" t="s">
        <v>41</v>
      </c>
      <c r="B93" s="41">
        <f t="shared" ref="B93:AE93" si="47">B66/B$50</f>
        <v>0.27777777777777779</v>
      </c>
      <c r="C93" s="39">
        <f t="shared" si="47"/>
        <v>0.72807017543859642</v>
      </c>
      <c r="D93" s="39">
        <f t="shared" si="47"/>
        <v>0.25</v>
      </c>
      <c r="E93" s="39">
        <f t="shared" si="47"/>
        <v>0.58139534883720934</v>
      </c>
      <c r="F93" s="39">
        <f t="shared" si="47"/>
        <v>0.47222222222222227</v>
      </c>
      <c r="G93" s="39">
        <f t="shared" si="47"/>
        <v>0.4390243902439025</v>
      </c>
      <c r="H93" s="39">
        <f t="shared" si="47"/>
        <v>0.65624999999999989</v>
      </c>
      <c r="I93" s="40">
        <f t="shared" si="47"/>
        <v>0.56756756756756743</v>
      </c>
      <c r="J93" s="41">
        <f t="shared" si="47"/>
        <v>0.5</v>
      </c>
      <c r="K93" s="39">
        <f t="shared" si="47"/>
        <v>0.47368421052631582</v>
      </c>
      <c r="L93" s="39">
        <f t="shared" si="47"/>
        <v>0.52941176470588247</v>
      </c>
      <c r="M93" s="39">
        <f t="shared" si="47"/>
        <v>0.57407407407407407</v>
      </c>
      <c r="N93" s="39">
        <f t="shared" si="47"/>
        <v>0.91666666666666663</v>
      </c>
      <c r="O93" s="39">
        <f t="shared" si="47"/>
        <v>1.2999999999999998</v>
      </c>
      <c r="P93" s="39">
        <f t="shared" si="47"/>
        <v>0.64814814814814814</v>
      </c>
      <c r="Q93" s="40">
        <f t="shared" si="47"/>
        <v>0.625</v>
      </c>
      <c r="R93" s="41">
        <f t="shared" si="47"/>
        <v>0.93877551020408168</v>
      </c>
      <c r="S93" s="39">
        <f t="shared" si="47"/>
        <v>1.0227272727272729</v>
      </c>
      <c r="T93" s="39">
        <f t="shared" si="47"/>
        <v>1.4754098360655739</v>
      </c>
      <c r="U93" s="39">
        <f t="shared" si="47"/>
        <v>1.0816326530612246</v>
      </c>
      <c r="V93" s="39">
        <f t="shared" si="47"/>
        <v>1.1400000000000001</v>
      </c>
      <c r="W93" s="40">
        <f t="shared" si="47"/>
        <v>1.3125</v>
      </c>
      <c r="X93" s="41">
        <f t="shared" si="47"/>
        <v>1.0263157894736841</v>
      </c>
      <c r="Y93" s="39">
        <f t="shared" si="47"/>
        <v>1.0999999999999999</v>
      </c>
      <c r="Z93" s="39">
        <f t="shared" si="47"/>
        <v>1.5666666666666667</v>
      </c>
      <c r="AA93" s="39">
        <f t="shared" si="47"/>
        <v>1.1428571428571428</v>
      </c>
      <c r="AB93" s="39">
        <f t="shared" si="47"/>
        <v>0.68965517241379304</v>
      </c>
      <c r="AC93" s="39">
        <f t="shared" si="47"/>
        <v>0.46590909090909094</v>
      </c>
      <c r="AD93" s="39">
        <f t="shared" si="47"/>
        <v>0.93877551020408168</v>
      </c>
      <c r="AE93" s="40">
        <f t="shared" si="47"/>
        <v>0.97368421052631593</v>
      </c>
    </row>
    <row r="94" spans="1:31">
      <c r="B94" s="41"/>
      <c r="C94" s="39"/>
      <c r="D94" s="39"/>
      <c r="E94" s="39"/>
      <c r="F94" s="39"/>
      <c r="G94" s="39"/>
      <c r="H94" s="39"/>
      <c r="I94" s="40"/>
      <c r="J94" s="41"/>
      <c r="K94" s="39"/>
      <c r="L94" s="39"/>
      <c r="M94" s="39"/>
      <c r="N94" s="39"/>
      <c r="O94" s="39"/>
      <c r="P94" s="39"/>
      <c r="Q94" s="40"/>
      <c r="R94" s="41"/>
      <c r="S94" s="39"/>
      <c r="T94" s="39"/>
      <c r="U94" s="39"/>
      <c r="V94" s="39"/>
      <c r="W94" s="40"/>
      <c r="X94" s="41"/>
      <c r="Y94" s="39"/>
      <c r="Z94" s="39"/>
      <c r="AA94" s="39"/>
      <c r="AB94" s="39"/>
      <c r="AC94" s="39"/>
      <c r="AD94" s="39"/>
      <c r="AE94" s="40"/>
    </row>
    <row r="95" spans="1:31">
      <c r="B95" s="41"/>
      <c r="C95" s="39"/>
      <c r="D95" s="39"/>
      <c r="E95" s="39"/>
      <c r="F95" s="39"/>
      <c r="G95" s="39"/>
      <c r="H95" s="39"/>
      <c r="I95" s="40"/>
      <c r="J95" s="41"/>
      <c r="K95" s="39"/>
      <c r="L95" s="39"/>
      <c r="M95" s="39"/>
      <c r="N95" s="39"/>
      <c r="O95" s="39"/>
      <c r="P95" s="39"/>
      <c r="Q95" s="40"/>
      <c r="R95" s="41"/>
      <c r="S95" s="39"/>
      <c r="T95" s="39"/>
      <c r="U95" s="39"/>
      <c r="V95" s="39"/>
      <c r="W95" s="40"/>
      <c r="X95" s="41"/>
      <c r="Y95" s="39"/>
      <c r="Z95" s="39"/>
      <c r="AA95" s="39"/>
      <c r="AB95" s="39"/>
      <c r="AC95" s="39"/>
      <c r="AD95" s="39"/>
      <c r="AE95" s="40"/>
    </row>
    <row r="96" spans="1:31" ht="19" thickBot="1">
      <c r="B96" s="88"/>
      <c r="C96" s="89"/>
      <c r="D96" s="89"/>
      <c r="E96" s="89"/>
      <c r="F96" s="89"/>
      <c r="G96" s="89"/>
      <c r="H96" s="89"/>
      <c r="I96" s="4"/>
      <c r="J96" s="88"/>
      <c r="K96" s="89"/>
      <c r="L96" s="89"/>
      <c r="M96" s="89"/>
      <c r="N96" s="89"/>
      <c r="O96" s="89"/>
      <c r="P96" s="89"/>
      <c r="Q96" s="4"/>
      <c r="R96" s="88"/>
      <c r="S96" s="89"/>
      <c r="T96" s="89"/>
      <c r="U96" s="89"/>
      <c r="V96" s="89"/>
      <c r="W96" s="4"/>
      <c r="X96" s="88"/>
      <c r="Y96" s="89"/>
      <c r="Z96" s="89"/>
      <c r="AA96" s="89"/>
      <c r="AB96" s="89"/>
      <c r="AC96" s="89"/>
      <c r="AD96" s="89"/>
      <c r="AE96" s="4"/>
    </row>
    <row r="98" spans="1:36" ht="19" thickBot="1"/>
    <row r="99" spans="1:36" ht="19" thickBot="1">
      <c r="A99" s="11" t="s">
        <v>22</v>
      </c>
      <c r="B99" s="111" t="s">
        <v>12</v>
      </c>
      <c r="C99" s="105"/>
      <c r="D99" s="105"/>
      <c r="E99" s="105"/>
      <c r="F99" s="105"/>
      <c r="G99" s="105"/>
      <c r="H99" s="105"/>
      <c r="I99" s="106"/>
      <c r="J99" s="111" t="s">
        <v>13</v>
      </c>
      <c r="K99" s="105"/>
      <c r="L99" s="105"/>
      <c r="M99" s="105"/>
      <c r="N99" s="105"/>
      <c r="O99" s="105"/>
      <c r="P99" s="105"/>
      <c r="Q99" s="106"/>
      <c r="R99" s="111" t="s">
        <v>14</v>
      </c>
      <c r="S99" s="105"/>
      <c r="T99" s="105"/>
      <c r="U99" s="105"/>
      <c r="V99" s="105"/>
      <c r="W99" s="106"/>
      <c r="X99" s="111" t="s">
        <v>20</v>
      </c>
      <c r="Y99" s="105"/>
      <c r="Z99" s="105"/>
      <c r="AA99" s="105"/>
      <c r="AB99" s="105"/>
      <c r="AC99" s="105"/>
      <c r="AD99" s="105"/>
      <c r="AE99" s="106"/>
      <c r="AG99" s="170" t="s">
        <v>46</v>
      </c>
    </row>
    <row r="100" spans="1:36" ht="19" thickBot="1">
      <c r="A100" s="11"/>
      <c r="B100" s="149" t="s">
        <v>10</v>
      </c>
      <c r="C100" s="150"/>
      <c r="D100" s="150"/>
      <c r="E100" s="150"/>
      <c r="F100" s="150"/>
      <c r="G100" s="150"/>
      <c r="H100" s="150"/>
      <c r="I100" s="151"/>
      <c r="J100" s="149" t="s">
        <v>16</v>
      </c>
      <c r="K100" s="150"/>
      <c r="L100" s="150"/>
      <c r="M100" s="150"/>
      <c r="N100" s="150"/>
      <c r="O100" s="150"/>
      <c r="P100" s="150"/>
      <c r="Q100" s="151"/>
      <c r="R100" s="168" t="s">
        <v>11</v>
      </c>
      <c r="S100" s="154"/>
      <c r="T100" s="154"/>
      <c r="U100" s="154"/>
      <c r="V100" s="154"/>
      <c r="W100" s="155"/>
      <c r="X100" s="169" t="s">
        <v>9</v>
      </c>
      <c r="Y100" s="157"/>
      <c r="Z100" s="157"/>
      <c r="AA100" s="157"/>
      <c r="AB100" s="157"/>
      <c r="AC100" s="157"/>
      <c r="AD100" s="157"/>
      <c r="AE100" s="158"/>
    </row>
    <row r="101" spans="1:36" ht="19">
      <c r="A101" s="12"/>
      <c r="B101" s="138">
        <v>951</v>
      </c>
      <c r="C101" s="102"/>
      <c r="D101" s="102">
        <v>3</v>
      </c>
      <c r="E101" s="102"/>
      <c r="F101" s="102">
        <v>5</v>
      </c>
      <c r="G101" s="102"/>
      <c r="H101" s="102">
        <v>78</v>
      </c>
      <c r="I101" s="103"/>
      <c r="J101" s="139">
        <v>1</v>
      </c>
      <c r="K101" s="140"/>
      <c r="L101" s="140">
        <v>4</v>
      </c>
      <c r="M101" s="140"/>
      <c r="N101" s="140">
        <v>952</v>
      </c>
      <c r="O101" s="140"/>
      <c r="P101" s="140">
        <v>962</v>
      </c>
      <c r="Q101" s="141"/>
      <c r="R101" s="142">
        <v>958</v>
      </c>
      <c r="S101" s="143"/>
      <c r="T101" s="143">
        <v>959</v>
      </c>
      <c r="U101" s="143"/>
      <c r="V101" s="143">
        <v>961</v>
      </c>
      <c r="W101" s="144"/>
      <c r="X101" s="145">
        <v>960</v>
      </c>
      <c r="Y101" s="146"/>
      <c r="Z101" s="147">
        <v>2</v>
      </c>
      <c r="AA101" s="147"/>
      <c r="AB101" s="146">
        <v>953</v>
      </c>
      <c r="AC101" s="146"/>
      <c r="AD101" s="146">
        <v>79</v>
      </c>
      <c r="AE101" s="148"/>
    </row>
    <row r="102" spans="1:36" ht="20" thickBot="1">
      <c r="A102" s="12"/>
      <c r="B102" s="62" t="s">
        <v>2</v>
      </c>
      <c r="C102" s="63" t="s">
        <v>3</v>
      </c>
      <c r="D102" s="64" t="s">
        <v>2</v>
      </c>
      <c r="E102" s="64" t="s">
        <v>3</v>
      </c>
      <c r="F102" s="64" t="s">
        <v>2</v>
      </c>
      <c r="G102" s="64" t="s">
        <v>3</v>
      </c>
      <c r="H102" s="64" t="s">
        <v>2</v>
      </c>
      <c r="I102" s="65" t="s">
        <v>3</v>
      </c>
      <c r="J102" s="80" t="s">
        <v>2</v>
      </c>
      <c r="K102" s="67" t="s">
        <v>3</v>
      </c>
      <c r="L102" s="67" t="s">
        <v>2</v>
      </c>
      <c r="M102" s="67" t="s">
        <v>3</v>
      </c>
      <c r="N102" s="67" t="s">
        <v>2</v>
      </c>
      <c r="O102" s="67" t="s">
        <v>3</v>
      </c>
      <c r="P102" s="67" t="s">
        <v>2</v>
      </c>
      <c r="Q102" s="68" t="s">
        <v>3</v>
      </c>
      <c r="R102" s="81" t="s">
        <v>2</v>
      </c>
      <c r="S102" s="70" t="s">
        <v>3</v>
      </c>
      <c r="T102" s="70" t="s">
        <v>2</v>
      </c>
      <c r="U102" s="70" t="s">
        <v>3</v>
      </c>
      <c r="V102" s="70" t="s">
        <v>2</v>
      </c>
      <c r="W102" s="71" t="s">
        <v>3</v>
      </c>
      <c r="X102" s="82" t="s">
        <v>2</v>
      </c>
      <c r="Y102" s="73" t="s">
        <v>3</v>
      </c>
      <c r="Z102" s="74" t="s">
        <v>2</v>
      </c>
      <c r="AA102" s="74" t="s">
        <v>3</v>
      </c>
      <c r="AB102" s="73" t="s">
        <v>2</v>
      </c>
      <c r="AC102" s="73" t="s">
        <v>3</v>
      </c>
      <c r="AD102" s="75" t="s">
        <v>2</v>
      </c>
      <c r="AE102" s="76" t="s">
        <v>3</v>
      </c>
    </row>
    <row r="103" spans="1:36">
      <c r="A103" s="6" t="s">
        <v>6</v>
      </c>
      <c r="B103" s="78">
        <f t="shared" ref="B103:C115" si="48">(B77^3)*100</f>
        <v>100</v>
      </c>
      <c r="C103" s="77">
        <f>(C77^3)*100</f>
        <v>100</v>
      </c>
      <c r="D103" s="77">
        <f t="shared" ref="D103:V103" si="49">(D77^3)*100</f>
        <v>100</v>
      </c>
      <c r="E103" s="77">
        <f t="shared" si="49"/>
        <v>100</v>
      </c>
      <c r="F103" s="77">
        <f t="shared" si="49"/>
        <v>100</v>
      </c>
      <c r="G103" s="77">
        <f t="shared" si="49"/>
        <v>100</v>
      </c>
      <c r="H103" s="77">
        <f t="shared" si="49"/>
        <v>100</v>
      </c>
      <c r="I103" s="79">
        <f t="shared" si="49"/>
        <v>100</v>
      </c>
      <c r="J103" s="78">
        <f t="shared" si="49"/>
        <v>100</v>
      </c>
      <c r="K103" s="77">
        <f t="shared" si="49"/>
        <v>100</v>
      </c>
      <c r="L103" s="77">
        <f t="shared" si="49"/>
        <v>100</v>
      </c>
      <c r="M103" s="77">
        <f t="shared" si="49"/>
        <v>100</v>
      </c>
      <c r="N103" s="77">
        <f t="shared" si="49"/>
        <v>100</v>
      </c>
      <c r="O103" s="77">
        <f t="shared" si="49"/>
        <v>100</v>
      </c>
      <c r="P103" s="77">
        <f t="shared" si="49"/>
        <v>100</v>
      </c>
      <c r="Q103" s="79">
        <f t="shared" si="49"/>
        <v>100</v>
      </c>
      <c r="R103" s="78">
        <f t="shared" si="49"/>
        <v>100</v>
      </c>
      <c r="S103" s="77">
        <f t="shared" si="49"/>
        <v>100</v>
      </c>
      <c r="T103" s="77">
        <f t="shared" si="49"/>
        <v>100</v>
      </c>
      <c r="U103" s="77">
        <f t="shared" si="49"/>
        <v>100</v>
      </c>
      <c r="V103" s="77">
        <f t="shared" si="49"/>
        <v>100</v>
      </c>
      <c r="W103" s="79">
        <f t="shared" ref="W103:AD103" si="50">(W77^3)*100</f>
        <v>100</v>
      </c>
      <c r="X103" s="78">
        <f t="shared" si="50"/>
        <v>100</v>
      </c>
      <c r="Y103" s="77">
        <f t="shared" si="50"/>
        <v>100</v>
      </c>
      <c r="Z103" s="77">
        <f t="shared" si="50"/>
        <v>100</v>
      </c>
      <c r="AA103" s="77">
        <f t="shared" si="50"/>
        <v>100</v>
      </c>
      <c r="AB103" s="77">
        <f t="shared" si="50"/>
        <v>100</v>
      </c>
      <c r="AC103" s="77">
        <f t="shared" si="50"/>
        <v>100</v>
      </c>
      <c r="AD103" s="77">
        <f t="shared" si="50"/>
        <v>100</v>
      </c>
      <c r="AE103" s="79">
        <f t="shared" ref="AE103:AE119" si="51">(AE77^3)*100</f>
        <v>100</v>
      </c>
      <c r="AG103" s="84">
        <v>25</v>
      </c>
      <c r="AH103" s="84">
        <v>50</v>
      </c>
      <c r="AI103" s="84">
        <v>12.5</v>
      </c>
      <c r="AJ103" s="84">
        <v>25</v>
      </c>
    </row>
    <row r="104" spans="1:36">
      <c r="A104" s="3" t="s">
        <v>17</v>
      </c>
      <c r="B104" s="78">
        <f t="shared" si="48"/>
        <v>100</v>
      </c>
      <c r="C104" s="77">
        <f t="shared" si="48"/>
        <v>27.351465768144589</v>
      </c>
      <c r="D104" s="77">
        <f t="shared" ref="D104:V115" si="52">(D78^3)*100</f>
        <v>22.380648688046652</v>
      </c>
      <c r="E104" s="77">
        <f t="shared" si="52"/>
        <v>17.387148301407436</v>
      </c>
      <c r="F104" s="77">
        <f t="shared" si="52"/>
        <v>33.48979766803842</v>
      </c>
      <c r="G104" s="77">
        <f t="shared" si="52"/>
        <v>25.501661322383601</v>
      </c>
      <c r="H104" s="77">
        <f t="shared" si="52"/>
        <v>28.262329101562482</v>
      </c>
      <c r="I104" s="79">
        <f t="shared" si="52"/>
        <v>15.793733836100522</v>
      </c>
      <c r="J104" s="78">
        <f t="shared" si="52"/>
        <v>20.632982719759571</v>
      </c>
      <c r="K104" s="77">
        <f t="shared" si="52"/>
        <v>40.005831753899976</v>
      </c>
      <c r="L104" s="77">
        <f t="shared" si="52"/>
        <v>100</v>
      </c>
      <c r="M104" s="77">
        <f t="shared" si="52"/>
        <v>17.14677640603567</v>
      </c>
      <c r="N104" s="77">
        <f t="shared" si="52"/>
        <v>34.299999999999976</v>
      </c>
      <c r="O104" s="77">
        <f t="shared" si="52"/>
        <v>25.403703703703712</v>
      </c>
      <c r="P104" s="77">
        <f t="shared" si="52"/>
        <v>29.629629629629626</v>
      </c>
      <c r="Q104" s="79">
        <f t="shared" si="52"/>
        <v>24.4140625</v>
      </c>
      <c r="R104" s="78">
        <f t="shared" si="52"/>
        <v>58.581883398923928</v>
      </c>
      <c r="S104" s="77">
        <f t="shared" si="52"/>
        <v>64.415852742299023</v>
      </c>
      <c r="T104" s="77">
        <f t="shared" si="52"/>
        <v>51.832091672871293</v>
      </c>
      <c r="U104" s="77">
        <f t="shared" si="52"/>
        <v>54.399102414810173</v>
      </c>
      <c r="V104" s="77">
        <f t="shared" si="52"/>
        <v>37.324799999999996</v>
      </c>
      <c r="W104" s="79">
        <f t="shared" ref="W104:AD115" si="53">(W78^3)*100</f>
        <v>74.429321289062528</v>
      </c>
      <c r="X104" s="78">
        <f t="shared" si="53"/>
        <v>35.87075375419159</v>
      </c>
      <c r="Y104" s="77">
        <f t="shared" si="53"/>
        <v>25.770097670924113</v>
      </c>
      <c r="Z104" s="77">
        <f t="shared" si="53"/>
        <v>29.629629629629626</v>
      </c>
      <c r="AA104" s="77">
        <f t="shared" si="53"/>
        <v>28.377842565597668</v>
      </c>
      <c r="AB104" s="77">
        <f t="shared" si="53"/>
        <v>28.123334290048792</v>
      </c>
      <c r="AC104" s="77">
        <f t="shared" si="53"/>
        <v>10.87175995492111</v>
      </c>
      <c r="AD104" s="77">
        <f t="shared" si="53"/>
        <v>33.407848770495285</v>
      </c>
      <c r="AE104" s="79">
        <f t="shared" si="51"/>
        <v>25.193176847937025</v>
      </c>
      <c r="AG104" s="84">
        <v>25</v>
      </c>
      <c r="AH104" s="84">
        <v>0</v>
      </c>
      <c r="AI104" s="84">
        <v>12.5</v>
      </c>
      <c r="AJ104" s="84">
        <v>0</v>
      </c>
    </row>
    <row r="105" spans="1:36">
      <c r="A105" s="3" t="s">
        <v>23</v>
      </c>
      <c r="B105" s="78">
        <f t="shared" si="48"/>
        <v>22.822359396433477</v>
      </c>
      <c r="C105" s="77">
        <f t="shared" si="48"/>
        <v>21.223264378243222</v>
      </c>
      <c r="D105" s="77">
        <f t="shared" si="52"/>
        <v>15.374453352769688</v>
      </c>
      <c r="E105" s="77">
        <f t="shared" si="52"/>
        <v>30.675286452765178</v>
      </c>
      <c r="F105" s="77">
        <f t="shared" si="52"/>
        <v>19.849537037037031</v>
      </c>
      <c r="G105" s="77">
        <f t="shared" si="52"/>
        <v>15.449572699177331</v>
      </c>
      <c r="H105" s="77">
        <f t="shared" si="52"/>
        <v>28.262329101562482</v>
      </c>
      <c r="I105" s="79">
        <f t="shared" si="52"/>
        <v>21.021459735849806</v>
      </c>
      <c r="J105" s="78">
        <f t="shared" si="52"/>
        <v>38.467317806160764</v>
      </c>
      <c r="K105" s="77">
        <f t="shared" si="52"/>
        <v>40.005831753899976</v>
      </c>
      <c r="L105" s="77">
        <f t="shared" si="52"/>
        <v>68.695298188479597</v>
      </c>
      <c r="M105" s="77">
        <f t="shared" si="52"/>
        <v>22.822359396433477</v>
      </c>
      <c r="N105" s="77">
        <f t="shared" si="52"/>
        <v>29.629629629629626</v>
      </c>
      <c r="O105" s="77">
        <f t="shared" si="52"/>
        <v>100</v>
      </c>
      <c r="P105" s="77">
        <f t="shared" si="52"/>
        <v>79.383224102016953</v>
      </c>
      <c r="Q105" s="79">
        <f t="shared" si="52"/>
        <v>30.754687500000006</v>
      </c>
      <c r="R105" s="78">
        <f t="shared" si="52"/>
        <v>36.443148688046669</v>
      </c>
      <c r="S105" s="77">
        <f t="shared" si="52"/>
        <v>50.332222013523676</v>
      </c>
      <c r="T105" s="77">
        <f t="shared" si="52"/>
        <v>45.740832933153015</v>
      </c>
      <c r="U105" s="77">
        <f t="shared" si="52"/>
        <v>43.054339603396571</v>
      </c>
      <c r="V105" s="77">
        <f t="shared" si="52"/>
        <v>37.324799999999996</v>
      </c>
      <c r="W105" s="79">
        <f t="shared" si="53"/>
        <v>53.637695312499979</v>
      </c>
      <c r="X105" s="78">
        <f t="shared" si="53"/>
        <v>71.628517276570904</v>
      </c>
      <c r="Y105" s="77">
        <f t="shared" si="53"/>
        <v>44.530728775356877</v>
      </c>
      <c r="Z105" s="77">
        <f t="shared" si="53"/>
        <v>55.586282578875192</v>
      </c>
      <c r="AA105" s="77">
        <f t="shared" si="53"/>
        <v>69.483381924198213</v>
      </c>
      <c r="AB105" s="77">
        <f t="shared" si="53"/>
        <v>43.659026610357124</v>
      </c>
      <c r="AC105" s="77">
        <f t="shared" si="53"/>
        <v>86.974079639368924</v>
      </c>
      <c r="AD105" s="77">
        <f t="shared" si="53"/>
        <v>67.579834932723628</v>
      </c>
      <c r="AE105" s="79">
        <f t="shared" si="51"/>
        <v>59.717159935850717</v>
      </c>
      <c r="AG105" s="84">
        <v>25</v>
      </c>
      <c r="AH105" s="84">
        <v>50</v>
      </c>
      <c r="AI105" s="84">
        <v>12.5</v>
      </c>
      <c r="AJ105" s="84">
        <v>25</v>
      </c>
    </row>
    <row r="106" spans="1:36">
      <c r="A106" s="3" t="s">
        <v>24</v>
      </c>
      <c r="B106" s="78">
        <f t="shared" si="48"/>
        <v>17.14677640603567</v>
      </c>
      <c r="C106" s="77">
        <f t="shared" si="48"/>
        <v>10.628371482723431</v>
      </c>
      <c r="D106" s="77">
        <f t="shared" si="52"/>
        <v>18.658892128279881</v>
      </c>
      <c r="E106" s="77">
        <f t="shared" si="52"/>
        <v>8.6269133535412017</v>
      </c>
      <c r="F106" s="77">
        <f t="shared" si="52"/>
        <v>12.500000000000009</v>
      </c>
      <c r="G106" s="77">
        <f t="shared" si="52"/>
        <v>9.9519739992164986</v>
      </c>
      <c r="H106" s="77">
        <f t="shared" si="52"/>
        <v>14.9932861328125</v>
      </c>
      <c r="I106" s="79">
        <f t="shared" si="52"/>
        <v>15.793733836100522</v>
      </c>
      <c r="J106" s="78">
        <f t="shared" si="52"/>
        <v>20.632982719759571</v>
      </c>
      <c r="K106" s="77">
        <f t="shared" si="52"/>
        <v>28.475360839772566</v>
      </c>
      <c r="L106" s="77">
        <f t="shared" si="52"/>
        <v>27.091390189293712</v>
      </c>
      <c r="M106" s="77">
        <f t="shared" si="52"/>
        <v>12.500000000000009</v>
      </c>
      <c r="N106" s="77">
        <f t="shared" si="52"/>
        <v>39.437037037037051</v>
      </c>
      <c r="O106" s="77">
        <f t="shared" si="52"/>
        <v>57.870370370370381</v>
      </c>
      <c r="P106" s="77">
        <f t="shared" si="52"/>
        <v>34.847330183407003</v>
      </c>
      <c r="Q106" s="79">
        <f t="shared" si="52"/>
        <v>34.29999999999999</v>
      </c>
      <c r="R106" s="78">
        <f t="shared" si="52"/>
        <v>30.545945991891145</v>
      </c>
      <c r="S106" s="77">
        <f t="shared" si="52"/>
        <v>69.636316679188582</v>
      </c>
      <c r="T106" s="77">
        <f t="shared" si="52"/>
        <v>45.740832933153015</v>
      </c>
      <c r="U106" s="77">
        <f t="shared" si="52"/>
        <v>50.420318064751925</v>
      </c>
      <c r="V106" s="77">
        <f t="shared" si="52"/>
        <v>37.324799999999996</v>
      </c>
      <c r="W106" s="79">
        <f t="shared" si="53"/>
        <v>60.0677490234375</v>
      </c>
      <c r="X106" s="78">
        <f t="shared" si="53"/>
        <v>49.205423531126989</v>
      </c>
      <c r="Y106" s="77">
        <f t="shared" si="53"/>
        <v>35.653794139744541</v>
      </c>
      <c r="Z106" s="77">
        <f t="shared" si="53"/>
        <v>39.43703703703703</v>
      </c>
      <c r="AA106" s="77">
        <f t="shared" si="53"/>
        <v>45.907871720116624</v>
      </c>
      <c r="AB106" s="77">
        <f t="shared" si="53"/>
        <v>23.912419533396193</v>
      </c>
      <c r="AC106" s="77">
        <f t="shared" si="53"/>
        <v>10.87175995492111</v>
      </c>
      <c r="AD106" s="77">
        <f t="shared" si="53"/>
        <v>39.656945660396609</v>
      </c>
      <c r="AE106" s="79">
        <f t="shared" si="51"/>
        <v>35.87075375419159</v>
      </c>
      <c r="AG106" s="84">
        <v>25</v>
      </c>
      <c r="AH106" s="84">
        <v>0</v>
      </c>
      <c r="AI106" s="84">
        <v>12.5</v>
      </c>
      <c r="AJ106" s="84">
        <v>0</v>
      </c>
    </row>
    <row r="107" spans="1:36">
      <c r="A107" s="3" t="s">
        <v>26</v>
      </c>
      <c r="B107" s="78">
        <f t="shared" si="48"/>
        <v>17.14677640603567</v>
      </c>
      <c r="C107" s="77">
        <f t="shared" si="48"/>
        <v>13.169504246920782</v>
      </c>
      <c r="D107" s="77">
        <f t="shared" si="52"/>
        <v>10.008199708454816</v>
      </c>
      <c r="E107" s="77">
        <f t="shared" si="52"/>
        <v>10.062007118870035</v>
      </c>
      <c r="F107" s="77">
        <f t="shared" si="52"/>
        <v>10.530264060356656</v>
      </c>
      <c r="G107" s="77">
        <f t="shared" si="52"/>
        <v>9.9519739992164986</v>
      </c>
      <c r="H107" s="77">
        <f t="shared" si="52"/>
        <v>12.499999999999996</v>
      </c>
      <c r="I107" s="79">
        <f t="shared" si="52"/>
        <v>9.6993267920952331</v>
      </c>
      <c r="J107" s="78">
        <f t="shared" si="52"/>
        <v>46.140120210368124</v>
      </c>
      <c r="K107" s="77">
        <f t="shared" si="52"/>
        <v>25.193176847937025</v>
      </c>
      <c r="L107" s="77">
        <f t="shared" si="52"/>
        <v>35.171992672501531</v>
      </c>
      <c r="M107" s="77">
        <f t="shared" si="52"/>
        <v>18.919245033785501</v>
      </c>
      <c r="N107" s="77">
        <f t="shared" si="52"/>
        <v>39.437037037037051</v>
      </c>
      <c r="O107" s="77">
        <f t="shared" si="52"/>
        <v>57.870370370370381</v>
      </c>
      <c r="P107" s="77">
        <f t="shared" si="52"/>
        <v>61.814764009551368</v>
      </c>
      <c r="Q107" s="79">
        <f t="shared" si="52"/>
        <v>38.107812500000016</v>
      </c>
      <c r="R107" s="78">
        <f t="shared" si="52"/>
        <v>30.545945991891145</v>
      </c>
      <c r="S107" s="77">
        <f t="shared" si="52"/>
        <v>52.520279629977473</v>
      </c>
      <c r="T107" s="77">
        <f t="shared" si="52"/>
        <v>55.070688736061612</v>
      </c>
      <c r="U107" s="77">
        <f t="shared" si="52"/>
        <v>54.399102414810173</v>
      </c>
      <c r="V107" s="77">
        <f t="shared" si="52"/>
        <v>34.29999999999999</v>
      </c>
      <c r="W107" s="79">
        <f t="shared" si="53"/>
        <v>47.6837158203125</v>
      </c>
      <c r="X107" s="78">
        <f t="shared" si="53"/>
        <v>92.311196967488002</v>
      </c>
      <c r="Y107" s="77">
        <f t="shared" si="53"/>
        <v>62.403005259203624</v>
      </c>
      <c r="Z107" s="77">
        <f t="shared" si="53"/>
        <v>75.633470507544558</v>
      </c>
      <c r="AA107" s="77">
        <f t="shared" si="53"/>
        <v>83.818075801749274</v>
      </c>
      <c r="AB107" s="77">
        <f t="shared" ref="AB107:AC115" si="54">(AB81^3)*100</f>
        <v>43.659026610357124</v>
      </c>
      <c r="AC107" s="77">
        <f t="shared" si="54"/>
        <v>34.972530052592042</v>
      </c>
      <c r="AD107" s="77">
        <f t="shared" si="53"/>
        <v>67.579834932723628</v>
      </c>
      <c r="AE107" s="79">
        <f t="shared" si="51"/>
        <v>71.628517276570904</v>
      </c>
      <c r="AG107" s="84">
        <v>25</v>
      </c>
      <c r="AH107" s="84">
        <v>50</v>
      </c>
      <c r="AI107" s="84">
        <v>12.5</v>
      </c>
      <c r="AJ107" s="84">
        <v>25</v>
      </c>
    </row>
    <row r="108" spans="1:36">
      <c r="A108" s="3" t="s">
        <v>27</v>
      </c>
      <c r="B108" s="78">
        <f t="shared" si="48"/>
        <v>12.500000000000009</v>
      </c>
      <c r="C108" s="77">
        <f t="shared" si="48"/>
        <v>13.169504246920782</v>
      </c>
      <c r="D108" s="77">
        <f t="shared" si="52"/>
        <v>4.555393586005831</v>
      </c>
      <c r="E108" s="77">
        <f t="shared" si="52"/>
        <v>10.062007118870035</v>
      </c>
      <c r="F108" s="77">
        <f t="shared" si="52"/>
        <v>7.2337962962963038</v>
      </c>
      <c r="G108" s="77">
        <f t="shared" si="52"/>
        <v>9.9519739992164986</v>
      </c>
      <c r="H108" s="77">
        <f t="shared" si="52"/>
        <v>12.499999999999996</v>
      </c>
      <c r="I108" s="79">
        <f t="shared" si="52"/>
        <v>11.513631966517282</v>
      </c>
      <c r="J108" s="78">
        <f t="shared" si="52"/>
        <v>16.228399699474075</v>
      </c>
      <c r="K108" s="77">
        <f t="shared" si="52"/>
        <v>22.173421781600815</v>
      </c>
      <c r="L108" s="77">
        <f t="shared" si="52"/>
        <v>44.718094850396916</v>
      </c>
      <c r="M108" s="77">
        <f t="shared" si="52"/>
        <v>11.1619163745364</v>
      </c>
      <c r="N108" s="77">
        <f t="shared" si="52"/>
        <v>34.299999999999976</v>
      </c>
      <c r="O108" s="77">
        <f t="shared" si="52"/>
        <v>45.062962962962956</v>
      </c>
      <c r="P108" s="77">
        <f t="shared" si="52"/>
        <v>34.847330183407003</v>
      </c>
      <c r="Q108" s="79">
        <f t="shared" si="52"/>
        <v>24.4140625</v>
      </c>
      <c r="R108" s="78">
        <f t="shared" si="52"/>
        <v>36.443148688046669</v>
      </c>
      <c r="S108" s="77">
        <f t="shared" si="52"/>
        <v>50.332222013523676</v>
      </c>
      <c r="T108" s="77">
        <f t="shared" si="52"/>
        <v>48.723020869588197</v>
      </c>
      <c r="U108" s="77">
        <f t="shared" si="52"/>
        <v>50.420318064751925</v>
      </c>
      <c r="V108" s="77">
        <f t="shared" si="52"/>
        <v>37.324799999999996</v>
      </c>
      <c r="W108" s="79">
        <f t="shared" ref="W108:AD117" si="55">(W82^3)*100</f>
        <v>53.637695312499979</v>
      </c>
      <c r="X108" s="78">
        <f t="shared" si="53"/>
        <v>49.205423531126989</v>
      </c>
      <c r="Y108" s="77">
        <f t="shared" si="53"/>
        <v>38.467317806160786</v>
      </c>
      <c r="Z108" s="77">
        <f t="shared" si="53"/>
        <v>51.199999999999989</v>
      </c>
      <c r="AA108" s="77">
        <f t="shared" si="53"/>
        <v>48.505830903790084</v>
      </c>
      <c r="AB108" s="77">
        <f t="shared" si="54"/>
        <v>28.123334290048792</v>
      </c>
      <c r="AC108" s="77">
        <f t="shared" si="54"/>
        <v>69.636316679188582</v>
      </c>
      <c r="AD108" s="77">
        <f t="shared" si="53"/>
        <v>39.656945660396609</v>
      </c>
      <c r="AE108" s="79">
        <f t="shared" si="51"/>
        <v>44.447076833357663</v>
      </c>
      <c r="AG108" s="84">
        <v>25</v>
      </c>
      <c r="AH108" s="84">
        <v>0</v>
      </c>
      <c r="AI108" s="84">
        <v>12.5</v>
      </c>
      <c r="AJ108" s="84">
        <v>0</v>
      </c>
    </row>
    <row r="109" spans="1:36">
      <c r="A109" s="3" t="s">
        <v>28</v>
      </c>
      <c r="B109" s="78">
        <f t="shared" si="48"/>
        <v>22.822359396433477</v>
      </c>
      <c r="C109" s="77">
        <f t="shared" si="48"/>
        <v>10.628371482723431</v>
      </c>
      <c r="D109" s="77">
        <f t="shared" si="52"/>
        <v>7.8717201166180777</v>
      </c>
      <c r="E109" s="77">
        <f t="shared" si="52"/>
        <v>8.6269133535412017</v>
      </c>
      <c r="F109" s="77">
        <f t="shared" si="52"/>
        <v>8.7791495198902609</v>
      </c>
      <c r="G109" s="77">
        <f t="shared" si="52"/>
        <v>12.5</v>
      </c>
      <c r="H109" s="77">
        <f t="shared" si="52"/>
        <v>10.299682617187504</v>
      </c>
      <c r="I109" s="79">
        <f t="shared" si="52"/>
        <v>10.580567784731413</v>
      </c>
      <c r="J109" s="78">
        <f t="shared" si="52"/>
        <v>20.632982719759571</v>
      </c>
      <c r="K109" s="77">
        <f t="shared" si="52"/>
        <v>25.193176847937025</v>
      </c>
      <c r="L109" s="77">
        <f t="shared" si="52"/>
        <v>75.796356604925734</v>
      </c>
      <c r="M109" s="77">
        <f t="shared" si="52"/>
        <v>15.48861962099275</v>
      </c>
      <c r="N109" s="77">
        <f t="shared" si="52"/>
        <v>39.437037037037051</v>
      </c>
      <c r="O109" s="77">
        <f t="shared" si="52"/>
        <v>57.870370370370381</v>
      </c>
      <c r="P109" s="77">
        <f t="shared" si="52"/>
        <v>24.960625920845388</v>
      </c>
      <c r="Q109" s="79">
        <f t="shared" si="52"/>
        <v>27.462499999999991</v>
      </c>
      <c r="R109" s="78">
        <f t="shared" si="52"/>
        <v>39.656945660396609</v>
      </c>
      <c r="S109" s="77">
        <f t="shared" si="52"/>
        <v>46.140120210368138</v>
      </c>
      <c r="T109" s="77">
        <f t="shared" si="52"/>
        <v>69.373207449081647</v>
      </c>
      <c r="U109" s="77">
        <f t="shared" si="52"/>
        <v>54.399102414810173</v>
      </c>
      <c r="V109" s="77">
        <f t="shared" si="52"/>
        <v>40.522399999999998</v>
      </c>
      <c r="W109" s="79">
        <f t="shared" si="55"/>
        <v>50.602340698242166</v>
      </c>
      <c r="X109" s="78">
        <f t="shared" si="53"/>
        <v>54.291806385770514</v>
      </c>
      <c r="Y109" s="77">
        <f t="shared" si="53"/>
        <v>38.467317806160786</v>
      </c>
      <c r="Z109" s="77">
        <f t="shared" si="53"/>
        <v>47.050754458161869</v>
      </c>
      <c r="AA109" s="77">
        <f t="shared" si="53"/>
        <v>51.199999999999989</v>
      </c>
      <c r="AB109" s="77">
        <f t="shared" si="54"/>
        <v>35.323814014514724</v>
      </c>
      <c r="AC109" s="77">
        <f t="shared" si="54"/>
        <v>80.908386551465071</v>
      </c>
      <c r="AD109" s="77">
        <f t="shared" si="53"/>
        <v>46.640430432897865</v>
      </c>
      <c r="AE109" s="79">
        <f t="shared" si="51"/>
        <v>49.205423531126989</v>
      </c>
      <c r="AG109" s="84">
        <v>25</v>
      </c>
      <c r="AH109" s="84">
        <v>50</v>
      </c>
      <c r="AI109" s="84">
        <v>12.5</v>
      </c>
      <c r="AJ109" s="84">
        <v>25</v>
      </c>
    </row>
    <row r="110" spans="1:36">
      <c r="A110" s="3" t="s">
        <v>29</v>
      </c>
      <c r="B110" s="78">
        <f t="shared" si="48"/>
        <v>12.500000000000009</v>
      </c>
      <c r="C110" s="77">
        <f t="shared" si="48"/>
        <v>9.4906394950133066</v>
      </c>
      <c r="D110" s="77">
        <f t="shared" si="52"/>
        <v>3.320881924198253</v>
      </c>
      <c r="E110" s="77">
        <f t="shared" si="52"/>
        <v>6.1793301218760606</v>
      </c>
      <c r="F110" s="77">
        <f t="shared" si="52"/>
        <v>8.7791495198902609</v>
      </c>
      <c r="G110" s="77">
        <f t="shared" si="52"/>
        <v>5.9430362298863919</v>
      </c>
      <c r="H110" s="77">
        <f t="shared" si="52"/>
        <v>6.7047119140625</v>
      </c>
      <c r="I110" s="79">
        <f t="shared" si="52"/>
        <v>5.4172507057824815</v>
      </c>
      <c r="J110" s="78">
        <f t="shared" si="52"/>
        <v>20.632982719759571</v>
      </c>
      <c r="K110" s="77">
        <f t="shared" si="52"/>
        <v>25.193176847937025</v>
      </c>
      <c r="L110" s="77">
        <f t="shared" si="52"/>
        <v>27.091390189293712</v>
      </c>
      <c r="M110" s="77">
        <f t="shared" si="52"/>
        <v>15.48861962099275</v>
      </c>
      <c r="N110" s="77">
        <f t="shared" si="52"/>
        <v>42.752503703703695</v>
      </c>
      <c r="O110" s="77">
        <f t="shared" si="52"/>
        <v>57.870370370370381</v>
      </c>
      <c r="P110" s="77">
        <f t="shared" si="52"/>
        <v>47.050754458161833</v>
      </c>
      <c r="Q110" s="79">
        <f t="shared" si="52"/>
        <v>24.4140625</v>
      </c>
      <c r="R110" s="78">
        <f t="shared" si="52"/>
        <v>24.354321753691057</v>
      </c>
      <c r="S110" s="77">
        <f t="shared" si="52"/>
        <v>42.1875</v>
      </c>
      <c r="T110" s="77">
        <f t="shared" si="52"/>
        <v>40.14653208858892</v>
      </c>
      <c r="U110" s="77">
        <f t="shared" si="52"/>
        <v>50.420318064751925</v>
      </c>
      <c r="V110" s="77">
        <f t="shared" si="52"/>
        <v>37.324799999999996</v>
      </c>
      <c r="W110" s="79">
        <f t="shared" si="55"/>
        <v>37.130737304687486</v>
      </c>
      <c r="X110" s="78">
        <f t="shared" si="53"/>
        <v>85.026971861787416</v>
      </c>
      <c r="Y110" s="77">
        <f t="shared" si="53"/>
        <v>58.503981968444762</v>
      </c>
      <c r="Z110" s="77">
        <f t="shared" si="53"/>
        <v>81.303703703703718</v>
      </c>
      <c r="AA110" s="77">
        <f t="shared" si="53"/>
        <v>91.671137026239037</v>
      </c>
      <c r="AB110" s="77">
        <f t="shared" si="54"/>
        <v>37.972036573865239</v>
      </c>
      <c r="AC110" s="77">
        <f t="shared" si="54"/>
        <v>14.283198722764837</v>
      </c>
      <c r="AD110" s="77">
        <f t="shared" si="53"/>
        <v>62.973760932944643</v>
      </c>
      <c r="AE110" s="79">
        <f t="shared" si="51"/>
        <v>59.717159935850717</v>
      </c>
      <c r="AG110" s="84">
        <v>25</v>
      </c>
      <c r="AH110" s="84">
        <v>0</v>
      </c>
      <c r="AI110" s="84">
        <v>12.5</v>
      </c>
      <c r="AJ110" s="84">
        <v>0</v>
      </c>
    </row>
    <row r="111" spans="1:36">
      <c r="A111" s="3" t="s">
        <v>30</v>
      </c>
      <c r="B111" s="78">
        <f t="shared" si="48"/>
        <v>12.500000000000009</v>
      </c>
      <c r="C111" s="77">
        <f t="shared" si="48"/>
        <v>8.4371439525252008</v>
      </c>
      <c r="D111" s="77">
        <f t="shared" si="52"/>
        <v>3.320881924198253</v>
      </c>
      <c r="E111" s="77">
        <f t="shared" si="52"/>
        <v>6.1793301218760606</v>
      </c>
      <c r="F111" s="77">
        <f t="shared" si="52"/>
        <v>5.8813443072702363</v>
      </c>
      <c r="G111" s="77">
        <f t="shared" si="52"/>
        <v>5.9430362298863919</v>
      </c>
      <c r="H111" s="77">
        <f t="shared" si="52"/>
        <v>5.2734374999999973</v>
      </c>
      <c r="I111" s="79">
        <f t="shared" si="52"/>
        <v>4.3373541547391081</v>
      </c>
      <c r="J111" s="78">
        <f t="shared" si="52"/>
        <v>6.8463561232156289</v>
      </c>
      <c r="K111" s="77">
        <f t="shared" si="52"/>
        <v>10.628371482723431</v>
      </c>
      <c r="L111" s="77">
        <f t="shared" si="52"/>
        <v>14.838184408711591</v>
      </c>
      <c r="M111" s="77">
        <f t="shared" si="52"/>
        <v>9.9229030127521245</v>
      </c>
      <c r="N111" s="77">
        <f t="shared" si="52"/>
        <v>29.629629629629626</v>
      </c>
      <c r="O111" s="77">
        <f t="shared" si="52"/>
        <v>57.870370370370381</v>
      </c>
      <c r="P111" s="77">
        <f t="shared" si="52"/>
        <v>29.629629629629626</v>
      </c>
      <c r="Q111" s="79">
        <f t="shared" si="52"/>
        <v>24.4140625</v>
      </c>
      <c r="R111" s="78">
        <f t="shared" si="52"/>
        <v>27.852340436382804</v>
      </c>
      <c r="S111" s="77">
        <f t="shared" si="52"/>
        <v>34.972530052592042</v>
      </c>
      <c r="T111" s="77">
        <f t="shared" si="52"/>
        <v>69.373207449081647</v>
      </c>
      <c r="U111" s="77">
        <f t="shared" si="52"/>
        <v>67.579834932723628</v>
      </c>
      <c r="V111" s="77">
        <f t="shared" si="52"/>
        <v>37.324799999999996</v>
      </c>
      <c r="W111" s="79">
        <f t="shared" si="55"/>
        <v>37.130737304687486</v>
      </c>
      <c r="X111" s="78">
        <f t="shared" si="53"/>
        <v>65.492418719930029</v>
      </c>
      <c r="Y111" s="77">
        <f t="shared" si="53"/>
        <v>51.199999999999989</v>
      </c>
      <c r="Z111" s="77">
        <f t="shared" si="53"/>
        <v>65.096296296296273</v>
      </c>
      <c r="AA111" s="77">
        <f t="shared" si="53"/>
        <v>56.883965014577278</v>
      </c>
      <c r="AB111" s="77">
        <f t="shared" si="54"/>
        <v>20.144327360695389</v>
      </c>
      <c r="AC111" s="77">
        <f t="shared" si="54"/>
        <v>9.3914350112697242</v>
      </c>
      <c r="AD111" s="77">
        <f t="shared" si="53"/>
        <v>39.656945660396609</v>
      </c>
      <c r="AE111" s="79">
        <f t="shared" si="51"/>
        <v>40.005831753899976</v>
      </c>
      <c r="AG111" s="84">
        <v>25</v>
      </c>
      <c r="AH111" s="84">
        <v>50</v>
      </c>
      <c r="AI111" s="84">
        <v>12.5</v>
      </c>
      <c r="AJ111" s="84">
        <v>25</v>
      </c>
    </row>
    <row r="112" spans="1:36">
      <c r="A112" s="3" t="s">
        <v>33</v>
      </c>
      <c r="B112" s="78">
        <f t="shared" si="48"/>
        <v>12.500000000000009</v>
      </c>
      <c r="C112" s="77">
        <f t="shared" si="48"/>
        <v>6.5699027501039442</v>
      </c>
      <c r="D112" s="77">
        <f t="shared" si="52"/>
        <v>3.320881924198253</v>
      </c>
      <c r="E112" s="77">
        <f t="shared" si="52"/>
        <v>5.1517476448614579</v>
      </c>
      <c r="F112" s="77">
        <f t="shared" si="52"/>
        <v>7.2337962962963038</v>
      </c>
      <c r="G112" s="77">
        <f t="shared" si="52"/>
        <v>3.981369974318425</v>
      </c>
      <c r="H112" s="77">
        <f t="shared" si="52"/>
        <v>8.3740234375</v>
      </c>
      <c r="I112" s="79">
        <f t="shared" si="52"/>
        <v>6.662981462104911</v>
      </c>
      <c r="J112" s="78">
        <f t="shared" si="52"/>
        <v>31.696093163035322</v>
      </c>
      <c r="K112" s="77">
        <f t="shared" si="52"/>
        <v>16.877460271176549</v>
      </c>
      <c r="L112" s="77">
        <f t="shared" si="52"/>
        <v>27.091390189293712</v>
      </c>
      <c r="M112" s="77">
        <f t="shared" si="52"/>
        <v>15.48861962099275</v>
      </c>
      <c r="N112" s="77">
        <f t="shared" si="52"/>
        <v>51.200000000000024</v>
      </c>
      <c r="O112" s="77">
        <f t="shared" si="52"/>
        <v>90.329629629629665</v>
      </c>
      <c r="P112" s="77">
        <f t="shared" si="52"/>
        <v>40.64421074023268</v>
      </c>
      <c r="Q112" s="79">
        <f t="shared" si="52"/>
        <v>34.29999999999999</v>
      </c>
      <c r="R112" s="78">
        <f t="shared" si="52"/>
        <v>21.821158700881448</v>
      </c>
      <c r="S112" s="77">
        <f t="shared" si="52"/>
        <v>30.754687500000006</v>
      </c>
      <c r="T112" s="77">
        <f t="shared" si="52"/>
        <v>69.373207449081647</v>
      </c>
      <c r="U112" s="77">
        <f t="shared" si="52"/>
        <v>58.581883398923928</v>
      </c>
      <c r="V112" s="77">
        <f t="shared" si="52"/>
        <v>47.455199999999984</v>
      </c>
      <c r="W112" s="79">
        <f t="shared" si="55"/>
        <v>42.187500000000021</v>
      </c>
      <c r="X112" s="78">
        <f t="shared" si="53"/>
        <v>116.63507799970839</v>
      </c>
      <c r="Y112" s="77">
        <f t="shared" si="53"/>
        <v>84.512697220135237</v>
      </c>
      <c r="Z112" s="77">
        <f t="shared" si="53"/>
        <v>154.30233196159128</v>
      </c>
      <c r="AA112" s="77">
        <f t="shared" si="53"/>
        <v>100</v>
      </c>
      <c r="AB112" s="77">
        <f t="shared" si="54"/>
        <v>32.801672885317139</v>
      </c>
      <c r="AC112" s="77">
        <f t="shared" si="54"/>
        <v>42.1875</v>
      </c>
      <c r="AD112" s="77">
        <f t="shared" si="53"/>
        <v>72.405205314112322</v>
      </c>
      <c r="AE112" s="79">
        <f t="shared" si="51"/>
        <v>100</v>
      </c>
      <c r="AG112" s="84">
        <v>25</v>
      </c>
      <c r="AH112" s="84">
        <v>0</v>
      </c>
      <c r="AI112" s="84">
        <v>12.5</v>
      </c>
      <c r="AJ112" s="84">
        <v>0</v>
      </c>
    </row>
    <row r="113" spans="1:36">
      <c r="A113" s="3" t="s">
        <v>35</v>
      </c>
      <c r="B113" s="78">
        <f t="shared" si="48"/>
        <v>12.500000000000009</v>
      </c>
      <c r="C113" s="77">
        <f t="shared" si="48"/>
        <v>6.5699027501039442</v>
      </c>
      <c r="D113" s="77">
        <f t="shared" si="52"/>
        <v>0.56942419825072887</v>
      </c>
      <c r="E113" s="77">
        <f t="shared" si="52"/>
        <v>6.1793301218760606</v>
      </c>
      <c r="F113" s="77">
        <f t="shared" si="52"/>
        <v>4.7089334705075458</v>
      </c>
      <c r="G113" s="77">
        <f t="shared" si="52"/>
        <v>4.8969109560221167</v>
      </c>
      <c r="H113" s="77">
        <f t="shared" si="52"/>
        <v>5.2734374999999973</v>
      </c>
      <c r="I113" s="79">
        <f t="shared" si="52"/>
        <v>3.4114465085977126</v>
      </c>
      <c r="J113" s="78">
        <f t="shared" si="52"/>
        <v>12.5</v>
      </c>
      <c r="K113" s="77">
        <f t="shared" si="52"/>
        <v>10.628371482723431</v>
      </c>
      <c r="L113" s="77">
        <f t="shared" si="52"/>
        <v>14.838184408711591</v>
      </c>
      <c r="M113" s="77">
        <f t="shared" si="52"/>
        <v>12.500000000000009</v>
      </c>
      <c r="N113" s="77">
        <f t="shared" si="52"/>
        <v>21.6</v>
      </c>
      <c r="O113" s="77">
        <f t="shared" si="52"/>
        <v>51.200000000000024</v>
      </c>
      <c r="P113" s="77">
        <f t="shared" si="52"/>
        <v>13.94096428389981</v>
      </c>
      <c r="Q113" s="79">
        <f t="shared" si="52"/>
        <v>14.470312499999993</v>
      </c>
      <c r="R113" s="78">
        <f t="shared" si="52"/>
        <v>46.640430432897865</v>
      </c>
      <c r="S113" s="77">
        <f t="shared" si="52"/>
        <v>46.140120210368138</v>
      </c>
      <c r="T113" s="77">
        <f t="shared" si="52"/>
        <v>95.162150135914487</v>
      </c>
      <c r="U113" s="77">
        <f t="shared" si="52"/>
        <v>67.579834932723628</v>
      </c>
      <c r="V113" s="77">
        <f t="shared" si="52"/>
        <v>55.136799999999987</v>
      </c>
      <c r="W113" s="79">
        <f t="shared" si="55"/>
        <v>60.0677490234375</v>
      </c>
      <c r="X113" s="78">
        <f t="shared" si="53"/>
        <v>100</v>
      </c>
      <c r="Y113" s="77">
        <f t="shared" si="53"/>
        <v>7.3129977460555953</v>
      </c>
      <c r="Z113" s="77">
        <f t="shared" si="53"/>
        <v>87.250480109739343</v>
      </c>
      <c r="AA113" s="77">
        <f t="shared" si="53"/>
        <v>62.9737609329446</v>
      </c>
      <c r="AB113" s="77">
        <f t="shared" si="54"/>
        <v>28.123334290048792</v>
      </c>
      <c r="AC113" s="77">
        <f t="shared" si="54"/>
        <v>9.3914350112697242</v>
      </c>
      <c r="AD113" s="77">
        <f t="shared" si="53"/>
        <v>46.640430432897865</v>
      </c>
      <c r="AE113" s="79">
        <f t="shared" si="51"/>
        <v>54.291806385770514</v>
      </c>
      <c r="AG113" s="84">
        <v>25</v>
      </c>
      <c r="AH113" s="84">
        <v>50</v>
      </c>
      <c r="AI113" s="84">
        <v>12.5</v>
      </c>
      <c r="AJ113" s="84">
        <v>25</v>
      </c>
    </row>
    <row r="114" spans="1:36">
      <c r="A114" s="3" t="s">
        <v>36</v>
      </c>
      <c r="B114" s="78">
        <f t="shared" si="48"/>
        <v>12.500000000000009</v>
      </c>
      <c r="C114" s="77">
        <f t="shared" si="48"/>
        <v>9.4906394950133066</v>
      </c>
      <c r="D114" s="77">
        <f t="shared" si="52"/>
        <v>0.98396501457726004</v>
      </c>
      <c r="E114" s="77">
        <f t="shared" si="52"/>
        <v>6.1793301218760606</v>
      </c>
      <c r="F114" s="77">
        <f t="shared" si="52"/>
        <v>5.8813443072702363</v>
      </c>
      <c r="G114" s="77">
        <f t="shared" si="52"/>
        <v>5.9430362298863919</v>
      </c>
      <c r="H114" s="77">
        <f t="shared" si="52"/>
        <v>6.7047119140625</v>
      </c>
      <c r="I114" s="79">
        <f t="shared" si="52"/>
        <v>4.3373541547391081</v>
      </c>
      <c r="J114" s="78">
        <f t="shared" si="52"/>
        <v>14.65905334335087</v>
      </c>
      <c r="K114" s="77">
        <f t="shared" si="52"/>
        <v>1.3285464353404295</v>
      </c>
      <c r="L114" s="77">
        <f t="shared" si="52"/>
        <v>44.718094850396916</v>
      </c>
      <c r="M114" s="77">
        <f t="shared" si="52"/>
        <v>18.018483589899919</v>
      </c>
      <c r="N114" s="77">
        <f t="shared" si="52"/>
        <v>57.870370370370381</v>
      </c>
      <c r="O114" s="77">
        <f t="shared" si="52"/>
        <v>115.76250000000002</v>
      </c>
      <c r="P114" s="77">
        <f t="shared" si="52"/>
        <v>34.847330183407003</v>
      </c>
      <c r="Q114" s="79">
        <f t="shared" si="52"/>
        <v>27.462499999999991</v>
      </c>
      <c r="R114" s="78">
        <f t="shared" si="52"/>
        <v>46.640430432897865</v>
      </c>
      <c r="S114" s="77">
        <f t="shared" si="52"/>
        <v>42.1875</v>
      </c>
      <c r="T114" s="77">
        <f t="shared" si="52"/>
        <v>115.49160502420909</v>
      </c>
      <c r="U114" s="77">
        <f t="shared" si="52"/>
        <v>82.734234885124408</v>
      </c>
      <c r="V114" s="77">
        <f t="shared" si="52"/>
        <v>68.14719999999997</v>
      </c>
      <c r="W114" s="79">
        <f t="shared" si="55"/>
        <v>60.0677490234375</v>
      </c>
      <c r="X114" s="78">
        <f t="shared" si="53"/>
        <v>116.63507799970839</v>
      </c>
      <c r="Y114" s="77">
        <f t="shared" si="53"/>
        <v>100</v>
      </c>
      <c r="Z114" s="77">
        <f t="shared" si="53"/>
        <v>192.71989026063102</v>
      </c>
      <c r="AA114" s="77">
        <f t="shared" si="53"/>
        <v>127.9813411078717</v>
      </c>
      <c r="AB114" s="77">
        <f t="shared" si="54"/>
        <v>32.801672885317139</v>
      </c>
      <c r="AC114" s="77">
        <f t="shared" si="54"/>
        <v>10.87175995492111</v>
      </c>
      <c r="AD114" s="77">
        <f t="shared" si="53"/>
        <v>80.594663788047498</v>
      </c>
      <c r="AE114" s="79">
        <f t="shared" si="51"/>
        <v>78.136390144335934</v>
      </c>
      <c r="AG114" s="84">
        <v>25</v>
      </c>
      <c r="AH114" s="84">
        <v>0</v>
      </c>
      <c r="AI114" s="84">
        <v>12.5</v>
      </c>
      <c r="AJ114" s="84">
        <v>0</v>
      </c>
    </row>
    <row r="115" spans="1:36">
      <c r="A115" s="3" t="s">
        <v>37</v>
      </c>
      <c r="B115" s="78">
        <f t="shared" si="48"/>
        <v>12.500000000000009</v>
      </c>
      <c r="C115" s="77">
        <f t="shared" si="48"/>
        <v>10.628371482723431</v>
      </c>
      <c r="D115" s="77">
        <f t="shared" si="52"/>
        <v>0.56942419825072887</v>
      </c>
      <c r="E115" s="77">
        <f t="shared" si="52"/>
        <v>7.3352031896562568</v>
      </c>
      <c r="F115" s="77">
        <f t="shared" si="52"/>
        <v>5.8813443072702363</v>
      </c>
      <c r="G115" s="77">
        <f t="shared" si="52"/>
        <v>4.8969109560221167</v>
      </c>
      <c r="H115" s="77">
        <f t="shared" si="52"/>
        <v>9.4974853515625028</v>
      </c>
      <c r="I115" s="79">
        <f t="shared" si="52"/>
        <v>6.662981462104911</v>
      </c>
      <c r="J115" s="78">
        <f t="shared" si="52"/>
        <v>8.0519815927873744</v>
      </c>
      <c r="K115" s="77">
        <f t="shared" si="52"/>
        <v>14.579384749963548</v>
      </c>
      <c r="L115" s="77">
        <f t="shared" si="52"/>
        <v>17.451150010177084</v>
      </c>
      <c r="M115" s="77">
        <f t="shared" si="52"/>
        <v>10.530264060356652</v>
      </c>
      <c r="N115" s="77">
        <f t="shared" si="52"/>
        <v>24.219270370370367</v>
      </c>
      <c r="O115" s="77">
        <f t="shared" si="52"/>
        <v>65.096296296296273</v>
      </c>
      <c r="P115" s="77">
        <f t="shared" si="52"/>
        <v>17.14677640603567</v>
      </c>
      <c r="Q115" s="79">
        <f t="shared" si="52"/>
        <v>15.966114062500001</v>
      </c>
      <c r="R115" s="78">
        <f t="shared" si="52"/>
        <v>44.823479162593834</v>
      </c>
      <c r="S115" s="77">
        <f t="shared" si="52"/>
        <v>69.636316679188582</v>
      </c>
      <c r="T115" s="77">
        <f t="shared" si="52"/>
        <v>138.52789440525862</v>
      </c>
      <c r="U115" s="77">
        <f t="shared" si="52"/>
        <v>82.734234885124408</v>
      </c>
      <c r="V115" s="77">
        <f t="shared" si="52"/>
        <v>83.05840000000002</v>
      </c>
      <c r="W115" s="79">
        <f t="shared" si="55"/>
        <v>74.429321289062528</v>
      </c>
      <c r="X115" s="78">
        <f t="shared" si="53"/>
        <v>71.628517276570904</v>
      </c>
      <c r="Y115" s="77">
        <f t="shared" si="53"/>
        <v>70.71314800901574</v>
      </c>
      <c r="Z115" s="77">
        <f t="shared" si="53"/>
        <v>154.30233196159128</v>
      </c>
      <c r="AA115" s="77">
        <f t="shared" si="53"/>
        <v>83.818075801749274</v>
      </c>
      <c r="AB115" s="77">
        <f t="shared" si="54"/>
        <v>0.51252613883308029</v>
      </c>
      <c r="AC115" s="77">
        <f t="shared" si="54"/>
        <v>8.7045395848985763</v>
      </c>
      <c r="AD115" s="77">
        <f t="shared" si="53"/>
        <v>50.420318064751925</v>
      </c>
      <c r="AE115" s="79">
        <f t="shared" si="51"/>
        <v>44.447076833357663</v>
      </c>
      <c r="AG115" s="84">
        <v>25</v>
      </c>
      <c r="AH115" s="84">
        <v>50</v>
      </c>
      <c r="AI115" s="84">
        <v>12.5</v>
      </c>
      <c r="AJ115" s="84">
        <v>25</v>
      </c>
    </row>
    <row r="116" spans="1:36">
      <c r="A116" s="3" t="s">
        <v>38</v>
      </c>
      <c r="B116" s="78">
        <f t="shared" ref="B116:V117" si="56">(B90^3)*100</f>
        <v>12.500000000000009</v>
      </c>
      <c r="C116" s="77">
        <f t="shared" si="56"/>
        <v>16.086461151339403</v>
      </c>
      <c r="D116" s="77">
        <f t="shared" si="56"/>
        <v>0.56942419825072887</v>
      </c>
      <c r="E116" s="77">
        <f t="shared" si="56"/>
        <v>8.6269133535412017</v>
      </c>
      <c r="F116" s="77">
        <f t="shared" si="56"/>
        <v>7.2337962962963038</v>
      </c>
      <c r="G116" s="77">
        <f t="shared" si="56"/>
        <v>4.8969109560221167</v>
      </c>
      <c r="H116" s="77">
        <f t="shared" si="56"/>
        <v>14.9932861328125</v>
      </c>
      <c r="I116" s="79">
        <f t="shared" si="56"/>
        <v>5.4172507057824815</v>
      </c>
      <c r="J116" s="78">
        <f t="shared" si="56"/>
        <v>20.632982719759571</v>
      </c>
      <c r="K116" s="77">
        <f t="shared" si="56"/>
        <v>14.579384749963548</v>
      </c>
      <c r="L116" s="77">
        <f t="shared" si="56"/>
        <v>27.091390189293712</v>
      </c>
      <c r="M116" s="77">
        <f t="shared" si="56"/>
        <v>19.849537037037052</v>
      </c>
      <c r="N116" s="77">
        <f t="shared" si="56"/>
        <v>72.900000000000006</v>
      </c>
      <c r="O116" s="77">
        <f t="shared" si="56"/>
        <v>145.57037037037026</v>
      </c>
      <c r="P116" s="77">
        <f t="shared" si="56"/>
        <v>34.847330183407003</v>
      </c>
      <c r="Q116" s="79">
        <f t="shared" si="56"/>
        <v>30.754687500000006</v>
      </c>
      <c r="R116" s="78">
        <f t="shared" si="56"/>
        <v>43.054339603396571</v>
      </c>
      <c r="S116" s="77">
        <f t="shared" si="56"/>
        <v>64.415852742299023</v>
      </c>
      <c r="T116" s="77">
        <f t="shared" si="56"/>
        <v>193.39768526881107</v>
      </c>
      <c r="U116" s="77">
        <f t="shared" si="56"/>
        <v>91.09459068925365</v>
      </c>
      <c r="V116" s="77">
        <f t="shared" si="56"/>
        <v>106.12079999999999</v>
      </c>
      <c r="W116" s="79">
        <f t="shared" si="55"/>
        <v>109.67102050781243</v>
      </c>
      <c r="X116" s="78">
        <f t="shared" si="55"/>
        <v>116.63507799970839</v>
      </c>
      <c r="Y116" s="77">
        <f t="shared" si="55"/>
        <v>224.34139744552968</v>
      </c>
      <c r="Z116" s="77">
        <f t="shared" si="55"/>
        <v>254.01980137174206</v>
      </c>
      <c r="AA116" s="77">
        <f t="shared" si="55"/>
        <v>138.35335276967925</v>
      </c>
      <c r="AB116" s="77">
        <f t="shared" si="55"/>
        <v>37.972036573865239</v>
      </c>
      <c r="AC116" s="77">
        <f t="shared" si="55"/>
        <v>14.283198722764837</v>
      </c>
      <c r="AD116" s="77">
        <f t="shared" si="55"/>
        <v>82.734234885124408</v>
      </c>
      <c r="AE116" s="79">
        <f t="shared" si="51"/>
        <v>65.492418719930029</v>
      </c>
      <c r="AG116" s="84">
        <v>25</v>
      </c>
      <c r="AH116" s="84">
        <v>0</v>
      </c>
      <c r="AI116" s="84">
        <v>12.5</v>
      </c>
      <c r="AJ116" s="84">
        <v>0</v>
      </c>
    </row>
    <row r="117" spans="1:36">
      <c r="A117" s="3" t="s">
        <v>39</v>
      </c>
      <c r="B117" s="78">
        <f t="shared" si="56"/>
        <v>12.500000000000009</v>
      </c>
      <c r="C117" s="77">
        <f t="shared" si="56"/>
        <v>16.086461151339403</v>
      </c>
      <c r="D117" s="77">
        <f t="shared" si="56"/>
        <v>0.56942419825072887</v>
      </c>
      <c r="E117" s="77">
        <f t="shared" si="56"/>
        <v>7.3352031896562568</v>
      </c>
      <c r="F117" s="77">
        <f t="shared" si="56"/>
        <v>7.2337962962963038</v>
      </c>
      <c r="G117" s="77">
        <f t="shared" si="56"/>
        <v>5.9430362298863919</v>
      </c>
      <c r="H117" s="77">
        <f t="shared" si="56"/>
        <v>8.3740234375</v>
      </c>
      <c r="I117" s="79">
        <f t="shared" si="56"/>
        <v>7.351736323613606</v>
      </c>
      <c r="J117" s="78">
        <f t="shared" si="56"/>
        <v>9.3914350112697207</v>
      </c>
      <c r="K117" s="77">
        <f t="shared" si="56"/>
        <v>8.9535646595713665</v>
      </c>
      <c r="L117" s="77">
        <f t="shared" si="56"/>
        <v>10.421331162222677</v>
      </c>
      <c r="M117" s="77">
        <f t="shared" si="56"/>
        <v>15.48861962099275</v>
      </c>
      <c r="N117" s="77">
        <f t="shared" si="56"/>
        <v>39.437037037037051</v>
      </c>
      <c r="O117" s="77">
        <f t="shared" si="56"/>
        <v>115.76250000000002</v>
      </c>
      <c r="P117" s="77">
        <f t="shared" si="56"/>
        <v>24.960625920845388</v>
      </c>
      <c r="Q117" s="79">
        <f t="shared" si="56"/>
        <v>27.462499999999991</v>
      </c>
      <c r="R117" s="78">
        <f t="shared" si="56"/>
        <v>50.420318064751925</v>
      </c>
      <c r="S117" s="77">
        <f t="shared" si="56"/>
        <v>69.636316679188582</v>
      </c>
      <c r="T117" s="77">
        <f t="shared" si="56"/>
        <v>290.11370995810239</v>
      </c>
      <c r="U117" s="77">
        <f t="shared" si="56"/>
        <v>149.27113702623913</v>
      </c>
      <c r="V117" s="77">
        <f t="shared" si="56"/>
        <v>119.10160000000003</v>
      </c>
      <c r="W117" s="79">
        <f t="shared" si="55"/>
        <v>119.94628906249993</v>
      </c>
      <c r="X117" s="78">
        <f t="shared" si="55"/>
        <v>92.311196967488002</v>
      </c>
      <c r="Y117" s="77">
        <f t="shared" si="55"/>
        <v>94.644027047332798</v>
      </c>
      <c r="Z117" s="77">
        <f t="shared" si="55"/>
        <v>274.39999999999992</v>
      </c>
      <c r="AA117" s="77">
        <f t="shared" si="55"/>
        <v>118.14110787172012</v>
      </c>
      <c r="AB117" s="77">
        <f t="shared" si="55"/>
        <v>28.123334290048792</v>
      </c>
      <c r="AC117" s="77">
        <f t="shared" si="55"/>
        <v>42.1875</v>
      </c>
      <c r="AD117" s="77">
        <f t="shared" si="55"/>
        <v>58.581883398923928</v>
      </c>
      <c r="AE117" s="79">
        <f t="shared" si="51"/>
        <v>49.205423531126989</v>
      </c>
      <c r="AG117" s="84">
        <v>25</v>
      </c>
      <c r="AH117" s="84">
        <v>50</v>
      </c>
      <c r="AI117" s="84">
        <v>12.5</v>
      </c>
      <c r="AJ117" s="84">
        <v>25</v>
      </c>
    </row>
    <row r="118" spans="1:36">
      <c r="A118" s="3" t="s">
        <v>40</v>
      </c>
      <c r="B118" s="78">
        <f t="shared" ref="B118:AD118" si="57">(B92^3)*100</f>
        <v>12.500000000000009</v>
      </c>
      <c r="C118" s="77">
        <f t="shared" si="57"/>
        <v>29.164251348593094</v>
      </c>
      <c r="D118" s="77">
        <f t="shared" si="57"/>
        <v>0.56942419825072887</v>
      </c>
      <c r="E118" s="77">
        <f t="shared" si="57"/>
        <v>11.648030990981921</v>
      </c>
      <c r="F118" s="77">
        <f t="shared" si="57"/>
        <v>10.530264060356656</v>
      </c>
      <c r="G118" s="77">
        <f t="shared" si="57"/>
        <v>9.3365679546147078</v>
      </c>
      <c r="H118" s="77">
        <f t="shared" si="57"/>
        <v>20.9320068359375</v>
      </c>
      <c r="I118" s="79">
        <f t="shared" si="57"/>
        <v>13.541152547726687</v>
      </c>
      <c r="J118" s="78">
        <f t="shared" si="57"/>
        <v>20.632982719759571</v>
      </c>
      <c r="K118" s="77">
        <f t="shared" si="57"/>
        <v>14.579384749963548</v>
      </c>
      <c r="L118" s="77">
        <f t="shared" si="57"/>
        <v>27.091390189293712</v>
      </c>
      <c r="M118" s="77">
        <f t="shared" si="57"/>
        <v>34.847330183407003</v>
      </c>
      <c r="N118" s="77">
        <f t="shared" si="57"/>
        <v>90.329629629629665</v>
      </c>
      <c r="O118" s="77">
        <f t="shared" si="57"/>
        <v>255.26296296296286</v>
      </c>
      <c r="P118" s="77">
        <f t="shared" si="57"/>
        <v>47.050754458161833</v>
      </c>
      <c r="Q118" s="79">
        <f t="shared" si="57"/>
        <v>36.937348437499999</v>
      </c>
      <c r="R118" s="78">
        <f t="shared" si="57"/>
        <v>54.399102414810173</v>
      </c>
      <c r="S118" s="77">
        <f t="shared" si="57"/>
        <v>100</v>
      </c>
      <c r="T118" s="77">
        <f t="shared" si="57"/>
        <v>310.58502694058092</v>
      </c>
      <c r="U118" s="77">
        <f t="shared" si="57"/>
        <v>141.41641662912568</v>
      </c>
      <c r="V118" s="77">
        <f t="shared" si="57"/>
        <v>164.30319999999998</v>
      </c>
      <c r="W118" s="79">
        <f t="shared" si="57"/>
        <v>195.3125</v>
      </c>
      <c r="X118" s="78">
        <f t="shared" si="57"/>
        <v>171.66564914710602</v>
      </c>
      <c r="Y118" s="77">
        <f t="shared" si="57"/>
        <v>206.1607813673929</v>
      </c>
      <c r="Z118" s="77">
        <f t="shared" si="57"/>
        <v>481.72949245541855</v>
      </c>
      <c r="AA118" s="77">
        <f t="shared" si="57"/>
        <v>227.02274052478134</v>
      </c>
      <c r="AB118" s="77">
        <f t="shared" si="57"/>
        <v>49.887244249456693</v>
      </c>
      <c r="AC118" s="77">
        <f t="shared" si="57"/>
        <v>20.632982719759585</v>
      </c>
      <c r="AD118" s="77">
        <f t="shared" si="57"/>
        <v>106.24824690392609</v>
      </c>
      <c r="AE118" s="79">
        <f t="shared" si="51"/>
        <v>108.10431549788595</v>
      </c>
      <c r="AG118" s="84">
        <v>25</v>
      </c>
      <c r="AH118" s="84">
        <v>0</v>
      </c>
      <c r="AI118" s="84">
        <v>12.5</v>
      </c>
      <c r="AJ118" s="84">
        <v>0</v>
      </c>
    </row>
    <row r="119" spans="1:36">
      <c r="A119" s="3" t="s">
        <v>41</v>
      </c>
      <c r="B119" s="78">
        <f t="shared" ref="B119:AD119" si="58">(B93^3)*100</f>
        <v>2.1433470507544587</v>
      </c>
      <c r="C119" s="77">
        <f t="shared" si="58"/>
        <v>38.593993833460218</v>
      </c>
      <c r="D119" s="77">
        <f t="shared" si="58"/>
        <v>1.5625</v>
      </c>
      <c r="E119" s="77">
        <f t="shared" si="58"/>
        <v>19.652357654043044</v>
      </c>
      <c r="F119" s="77">
        <f t="shared" si="58"/>
        <v>10.530264060356656</v>
      </c>
      <c r="G119" s="77">
        <f t="shared" si="58"/>
        <v>8.461862132006214</v>
      </c>
      <c r="H119" s="77">
        <f t="shared" si="58"/>
        <v>28.262329101562482</v>
      </c>
      <c r="I119" s="79">
        <f t="shared" si="58"/>
        <v>18.283221132015861</v>
      </c>
      <c r="J119" s="78">
        <f t="shared" si="58"/>
        <v>12.5</v>
      </c>
      <c r="K119" s="77">
        <f t="shared" si="58"/>
        <v>10.628371482723431</v>
      </c>
      <c r="L119" s="77">
        <f t="shared" si="58"/>
        <v>14.838184408711591</v>
      </c>
      <c r="M119" s="77">
        <f t="shared" si="58"/>
        <v>18.919245033785501</v>
      </c>
      <c r="N119" s="77">
        <f t="shared" si="58"/>
        <v>77.025462962962948</v>
      </c>
      <c r="O119" s="77">
        <f t="shared" si="58"/>
        <v>219.69999999999993</v>
      </c>
      <c r="P119" s="77">
        <f t="shared" si="58"/>
        <v>27.228445866991819</v>
      </c>
      <c r="Q119" s="79">
        <f t="shared" si="58"/>
        <v>24.4140625</v>
      </c>
      <c r="R119" s="78">
        <f t="shared" si="58"/>
        <v>82.734234885124408</v>
      </c>
      <c r="S119" s="77">
        <f t="shared" si="58"/>
        <v>106.97431442524426</v>
      </c>
      <c r="T119" s="77">
        <f t="shared" si="58"/>
        <v>321.17225670871136</v>
      </c>
      <c r="U119" s="77">
        <f t="shared" si="58"/>
        <v>126.54336203452645</v>
      </c>
      <c r="V119" s="77">
        <f t="shared" si="58"/>
        <v>148.15440000000004</v>
      </c>
      <c r="W119" s="79">
        <f t="shared" si="58"/>
        <v>226.0986328125</v>
      </c>
      <c r="X119" s="78">
        <f t="shared" si="58"/>
        <v>108.10431549788595</v>
      </c>
      <c r="Y119" s="77">
        <f t="shared" si="58"/>
        <v>133.09999999999997</v>
      </c>
      <c r="Z119" s="77">
        <f t="shared" si="58"/>
        <v>384.5296296296296</v>
      </c>
      <c r="AA119" s="77">
        <f t="shared" si="58"/>
        <v>149.27113702623905</v>
      </c>
      <c r="AB119" s="77">
        <f t="shared" si="58"/>
        <v>32.801672885317139</v>
      </c>
      <c r="AC119" s="77">
        <f t="shared" si="58"/>
        <v>10.113548318933134</v>
      </c>
      <c r="AD119" s="77">
        <f t="shared" si="58"/>
        <v>82.734234885124408</v>
      </c>
      <c r="AE119" s="79">
        <f t="shared" si="51"/>
        <v>92.311196967488002</v>
      </c>
      <c r="AG119" s="84">
        <v>25</v>
      </c>
      <c r="AH119" s="84">
        <v>50</v>
      </c>
      <c r="AI119" s="84">
        <v>12.5</v>
      </c>
      <c r="AJ119" s="84">
        <v>25</v>
      </c>
    </row>
    <row r="120" spans="1:36">
      <c r="B120" s="78"/>
      <c r="C120" s="77"/>
      <c r="D120" s="77"/>
      <c r="E120" s="77"/>
      <c r="F120" s="77"/>
      <c r="G120" s="77"/>
      <c r="H120" s="77"/>
      <c r="I120" s="79"/>
      <c r="J120" s="78"/>
      <c r="K120" s="77"/>
      <c r="L120" s="77"/>
      <c r="M120" s="77"/>
      <c r="N120" s="77"/>
      <c r="O120" s="77"/>
      <c r="P120" s="77"/>
      <c r="Q120" s="79"/>
      <c r="R120" s="78"/>
      <c r="S120" s="39"/>
      <c r="T120" s="39"/>
      <c r="U120" s="39"/>
      <c r="V120" s="39"/>
      <c r="W120" s="40"/>
      <c r="X120" s="41"/>
      <c r="Y120" s="39"/>
      <c r="Z120" s="39"/>
      <c r="AA120" s="39"/>
      <c r="AB120" s="39"/>
      <c r="AC120" s="39"/>
      <c r="AD120" s="39"/>
      <c r="AE120" s="40"/>
      <c r="AG120" s="84">
        <v>25</v>
      </c>
      <c r="AH120" s="84">
        <v>0</v>
      </c>
      <c r="AI120" s="84">
        <v>12.5</v>
      </c>
      <c r="AJ120" s="84">
        <v>0</v>
      </c>
    </row>
    <row r="121" spans="1:36">
      <c r="B121" s="78"/>
      <c r="C121" s="77"/>
      <c r="D121" s="77"/>
      <c r="E121" s="77"/>
      <c r="F121" s="77"/>
      <c r="G121" s="77"/>
      <c r="H121" s="77"/>
      <c r="I121" s="79"/>
      <c r="J121" s="78"/>
      <c r="K121" s="77"/>
      <c r="L121" s="77"/>
      <c r="M121" s="77"/>
      <c r="N121" s="77"/>
      <c r="O121" s="77"/>
      <c r="P121" s="77"/>
      <c r="Q121" s="79"/>
      <c r="R121" s="78"/>
      <c r="S121" s="39"/>
      <c r="T121" s="39"/>
      <c r="U121" s="39"/>
      <c r="V121" s="39"/>
      <c r="W121" s="40"/>
      <c r="X121" s="41"/>
      <c r="Y121" s="39"/>
      <c r="Z121" s="39"/>
      <c r="AA121" s="39"/>
      <c r="AB121" s="39"/>
      <c r="AC121" s="39"/>
      <c r="AD121" s="39"/>
      <c r="AE121" s="40"/>
    </row>
    <row r="122" spans="1:36" ht="19" thickBot="1">
      <c r="B122" s="88"/>
      <c r="C122" s="89"/>
      <c r="D122" s="89"/>
      <c r="E122" s="89"/>
      <c r="F122" s="89"/>
      <c r="G122" s="89"/>
      <c r="H122" s="89"/>
      <c r="I122" s="4"/>
      <c r="J122" s="88"/>
      <c r="K122" s="89"/>
      <c r="L122" s="89"/>
      <c r="M122" s="89"/>
      <c r="N122" s="89"/>
      <c r="O122" s="89"/>
      <c r="P122" s="89"/>
      <c r="Q122" s="4"/>
      <c r="R122" s="88"/>
      <c r="S122" s="89"/>
      <c r="T122" s="89"/>
      <c r="U122" s="89"/>
      <c r="V122" s="89"/>
      <c r="W122" s="4"/>
      <c r="X122" s="88"/>
      <c r="Y122" s="89"/>
      <c r="Z122" s="89"/>
      <c r="AA122" s="89"/>
      <c r="AB122" s="89"/>
      <c r="AC122" s="89"/>
      <c r="AD122" s="89"/>
      <c r="AE122" s="4"/>
    </row>
  </sheetData>
  <mergeCells count="100">
    <mergeCell ref="B35:Q35"/>
    <mergeCell ref="X35:AE35"/>
    <mergeCell ref="R35:W35"/>
    <mergeCell ref="Z101:AA101"/>
    <mergeCell ref="AB101:AC101"/>
    <mergeCell ref="AD101:AE101"/>
    <mergeCell ref="B100:I100"/>
    <mergeCell ref="J100:Q100"/>
    <mergeCell ref="R100:W100"/>
    <mergeCell ref="X100:AE100"/>
    <mergeCell ref="B101:C101"/>
    <mergeCell ref="D101:E101"/>
    <mergeCell ref="F101:G101"/>
    <mergeCell ref="H101:I101"/>
    <mergeCell ref="J101:K101"/>
    <mergeCell ref="L101:M101"/>
    <mergeCell ref="N101:O101"/>
    <mergeCell ref="P101:Q101"/>
    <mergeCell ref="R101:S101"/>
    <mergeCell ref="T101:U101"/>
    <mergeCell ref="V101:W101"/>
    <mergeCell ref="X101:Y101"/>
    <mergeCell ref="A46:A47"/>
    <mergeCell ref="B99:I99"/>
    <mergeCell ref="J99:Q99"/>
    <mergeCell ref="R99:W99"/>
    <mergeCell ref="X99:AE99"/>
    <mergeCell ref="V75:W75"/>
    <mergeCell ref="X75:Y75"/>
    <mergeCell ref="Z75:AA75"/>
    <mergeCell ref="AB75:AC75"/>
    <mergeCell ref="AD75:AE75"/>
    <mergeCell ref="L75:M75"/>
    <mergeCell ref="N75:O75"/>
    <mergeCell ref="P75:Q75"/>
    <mergeCell ref="R75:S75"/>
    <mergeCell ref="T75:U75"/>
    <mergeCell ref="B75:C75"/>
    <mergeCell ref="D75:E75"/>
    <mergeCell ref="F75:G75"/>
    <mergeCell ref="H75:I75"/>
    <mergeCell ref="J75:K75"/>
    <mergeCell ref="B73:I73"/>
    <mergeCell ref="J73:Q73"/>
    <mergeCell ref="R73:W73"/>
    <mergeCell ref="X73:AE73"/>
    <mergeCell ref="B74:I74"/>
    <mergeCell ref="J74:Q74"/>
    <mergeCell ref="R74:W74"/>
    <mergeCell ref="X74:AE74"/>
    <mergeCell ref="V48:W48"/>
    <mergeCell ref="X48:Y48"/>
    <mergeCell ref="Z48:AA48"/>
    <mergeCell ref="AB48:AC48"/>
    <mergeCell ref="AD48:AE48"/>
    <mergeCell ref="L48:M48"/>
    <mergeCell ref="N48:O48"/>
    <mergeCell ref="P48:Q48"/>
    <mergeCell ref="R48:S48"/>
    <mergeCell ref="T48:U48"/>
    <mergeCell ref="B48:C48"/>
    <mergeCell ref="D48:E48"/>
    <mergeCell ref="F48:G48"/>
    <mergeCell ref="H48:I48"/>
    <mergeCell ref="J48:K48"/>
    <mergeCell ref="B46:I46"/>
    <mergeCell ref="J46:Q46"/>
    <mergeCell ref="R46:W46"/>
    <mergeCell ref="X46:AE46"/>
    <mergeCell ref="B47:I47"/>
    <mergeCell ref="J47:Q47"/>
    <mergeCell ref="R47:W47"/>
    <mergeCell ref="X47:AE47"/>
    <mergeCell ref="R15:W15"/>
    <mergeCell ref="X15:AE15"/>
    <mergeCell ref="X14:AE14"/>
    <mergeCell ref="AD16:AE16"/>
    <mergeCell ref="B14:I14"/>
    <mergeCell ref="B15:I15"/>
    <mergeCell ref="J14:Q14"/>
    <mergeCell ref="J15:Q15"/>
    <mergeCell ref="R14:W14"/>
    <mergeCell ref="R16:S16"/>
    <mergeCell ref="T16:U16"/>
    <mergeCell ref="V16:W16"/>
    <mergeCell ref="X16:Y16"/>
    <mergeCell ref="Z16:AA16"/>
    <mergeCell ref="AB16:AC16"/>
    <mergeCell ref="B16:C16"/>
    <mergeCell ref="P16:Q16"/>
    <mergeCell ref="N16:O16"/>
    <mergeCell ref="B1:F1"/>
    <mergeCell ref="B2:F2"/>
    <mergeCell ref="B3:F3"/>
    <mergeCell ref="B5:E5"/>
    <mergeCell ref="D16:E16"/>
    <mergeCell ref="F16:G16"/>
    <mergeCell ref="H16:I16"/>
    <mergeCell ref="J16:K16"/>
    <mergeCell ref="L16:M16"/>
  </mergeCells>
  <phoneticPr fontId="12" type="noConversion"/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Tumor measurement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West, Jeffrey B</cp:lastModifiedBy>
  <dcterms:created xsi:type="dcterms:W3CDTF">2021-08-17T18:04:35Z</dcterms:created>
  <dcterms:modified xsi:type="dcterms:W3CDTF">2023-01-04T19:34:19Z</dcterms:modified>
</cp:coreProperties>
</file>