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Bina Desai/Anti-fragile/Invivo study/BD32/"/>
    </mc:Choice>
  </mc:AlternateContent>
  <xr:revisionPtr revIDLastSave="0" documentId="13_ncr:1_{96F72ADF-E161-1845-942B-4BB76FECF3D3}" xr6:coauthVersionLast="47" xr6:coauthVersionMax="47" xr10:uidLastSave="{00000000-0000-0000-0000-000000000000}"/>
  <bookViews>
    <workbookView xWindow="17500" yWindow="9180" windowWidth="24920" windowHeight="21560" xr2:uid="{BB31187D-08E5-0D42-9699-DC37A098ABF3}"/>
  </bookViews>
  <sheets>
    <sheet name="Tumor measurement " sheetId="2" r:id="rId1"/>
    <sheet name="comments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9" i="2" l="1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A139" i="2"/>
  <c r="J108" i="2"/>
  <c r="K108" i="2"/>
  <c r="L108" i="2"/>
  <c r="M108" i="2"/>
  <c r="N108" i="2"/>
  <c r="O108" i="2"/>
  <c r="P108" i="2"/>
  <c r="Q108" i="2"/>
  <c r="B108" i="2"/>
  <c r="C108" i="2"/>
  <c r="D108" i="2"/>
  <c r="E108" i="2"/>
  <c r="F108" i="2"/>
  <c r="G108" i="2"/>
  <c r="H108" i="2"/>
  <c r="I108" i="2"/>
  <c r="A108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A76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A75" i="2"/>
  <c r="A107" i="2" s="1"/>
  <c r="A68" i="2"/>
  <c r="A100" i="2" s="1"/>
  <c r="A66" i="2"/>
  <c r="A129" i="2" s="1"/>
  <c r="A57" i="2"/>
  <c r="A120" i="2" s="1"/>
  <c r="A74" i="2"/>
  <c r="A137" i="2" s="1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A58" i="2"/>
  <c r="A121" i="2" s="1"/>
  <c r="A59" i="2"/>
  <c r="A122" i="2" s="1"/>
  <c r="A60" i="2"/>
  <c r="A92" i="2" s="1"/>
  <c r="A61" i="2"/>
  <c r="A62" i="2"/>
  <c r="A63" i="2"/>
  <c r="A126" i="2" s="1"/>
  <c r="A64" i="2"/>
  <c r="A127" i="2" s="1"/>
  <c r="A65" i="2"/>
  <c r="A128" i="2" s="1"/>
  <c r="A67" i="2"/>
  <c r="A130" i="2" s="1"/>
  <c r="A131" i="2"/>
  <c r="A69" i="2"/>
  <c r="A101" i="2" s="1"/>
  <c r="A70" i="2"/>
  <c r="A133" i="2" s="1"/>
  <c r="A71" i="2"/>
  <c r="A134" i="2" s="1"/>
  <c r="A72" i="2"/>
  <c r="A135" i="2" s="1"/>
  <c r="A73" i="2"/>
  <c r="A105" i="2" s="1"/>
  <c r="A56" i="2"/>
  <c r="A88" i="2" s="1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J71" i="2"/>
  <c r="K71" i="2"/>
  <c r="L71" i="2"/>
  <c r="M71" i="2"/>
  <c r="N71" i="2"/>
  <c r="O71" i="2"/>
  <c r="P71" i="2"/>
  <c r="Q71" i="2"/>
  <c r="C71" i="2"/>
  <c r="D71" i="2"/>
  <c r="E71" i="2"/>
  <c r="F71" i="2"/>
  <c r="G71" i="2"/>
  <c r="H71" i="2"/>
  <c r="I71" i="2"/>
  <c r="C70" i="2"/>
  <c r="D70" i="2"/>
  <c r="E70" i="2"/>
  <c r="F70" i="2"/>
  <c r="G70" i="2"/>
  <c r="H70" i="2"/>
  <c r="I70" i="2"/>
  <c r="B71" i="2"/>
  <c r="B70" i="2"/>
  <c r="J70" i="2"/>
  <c r="K70" i="2"/>
  <c r="L70" i="2"/>
  <c r="M70" i="2"/>
  <c r="N70" i="2"/>
  <c r="O70" i="2"/>
  <c r="P70" i="2"/>
  <c r="Q70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A93" i="2"/>
  <c r="A125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J66" i="2"/>
  <c r="B66" i="2"/>
  <c r="C66" i="2"/>
  <c r="D66" i="2"/>
  <c r="E66" i="2"/>
  <c r="F66" i="2"/>
  <c r="G66" i="2"/>
  <c r="H66" i="2"/>
  <c r="I66" i="2"/>
  <c r="K66" i="2"/>
  <c r="L66" i="2"/>
  <c r="M66" i="2"/>
  <c r="N66" i="2"/>
  <c r="O66" i="2"/>
  <c r="P66" i="2"/>
  <c r="Q66" i="2"/>
  <c r="G57" i="2"/>
  <c r="J65" i="2"/>
  <c r="K65" i="2"/>
  <c r="L65" i="2"/>
  <c r="M65" i="2"/>
  <c r="N65" i="2"/>
  <c r="O65" i="2"/>
  <c r="P65" i="2"/>
  <c r="Q65" i="2"/>
  <c r="B65" i="2"/>
  <c r="C65" i="2"/>
  <c r="D65" i="2"/>
  <c r="E65" i="2"/>
  <c r="F65" i="2"/>
  <c r="G65" i="2"/>
  <c r="H65" i="2"/>
  <c r="I65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K60" i="2"/>
  <c r="L60" i="2"/>
  <c r="M60" i="2"/>
  <c r="N60" i="2"/>
  <c r="O60" i="2"/>
  <c r="P60" i="2"/>
  <c r="Q60" i="2"/>
  <c r="B60" i="2"/>
  <c r="C60" i="2"/>
  <c r="D60" i="2"/>
  <c r="E60" i="2"/>
  <c r="F60" i="2"/>
  <c r="G60" i="2"/>
  <c r="H60" i="2"/>
  <c r="I60" i="2"/>
  <c r="J60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P57" i="2"/>
  <c r="Q57" i="2"/>
  <c r="O57" i="2"/>
  <c r="N57" i="2"/>
  <c r="M57" i="2"/>
  <c r="L57" i="2"/>
  <c r="K57" i="2"/>
  <c r="J57" i="2"/>
  <c r="Q56" i="2"/>
  <c r="Q88" i="2" s="1"/>
  <c r="P56" i="2"/>
  <c r="P88" i="2" s="1"/>
  <c r="O56" i="2"/>
  <c r="O88" i="2" s="1"/>
  <c r="N56" i="2"/>
  <c r="N88" i="2" s="1"/>
  <c r="M56" i="2"/>
  <c r="M88" i="2" s="1"/>
  <c r="L56" i="2"/>
  <c r="L88" i="2" s="1"/>
  <c r="K56" i="2"/>
  <c r="K88" i="2" s="1"/>
  <c r="J56" i="2"/>
  <c r="J88" i="2" s="1"/>
  <c r="C57" i="2"/>
  <c r="D57" i="2"/>
  <c r="E57" i="2"/>
  <c r="F57" i="2"/>
  <c r="H57" i="2"/>
  <c r="I56" i="2"/>
  <c r="I88" i="2" s="1"/>
  <c r="I57" i="2"/>
  <c r="D56" i="2"/>
  <c r="D88" i="2" s="1"/>
  <c r="E56" i="2"/>
  <c r="E88" i="2" s="1"/>
  <c r="F56" i="2"/>
  <c r="F88" i="2" s="1"/>
  <c r="G56" i="2"/>
  <c r="G106" i="2" s="1"/>
  <c r="G137" i="2" s="1"/>
  <c r="H56" i="2"/>
  <c r="H88" i="2" s="1"/>
  <c r="C56" i="2"/>
  <c r="B57" i="2"/>
  <c r="B56" i="2"/>
  <c r="B88" i="2" s="1"/>
  <c r="B119" i="2" s="1"/>
  <c r="A119" i="2"/>
  <c r="Q55" i="2"/>
  <c r="L55" i="2"/>
  <c r="M55" i="2"/>
  <c r="N55" i="2"/>
  <c r="O55" i="2"/>
  <c r="P55" i="2"/>
  <c r="K55" i="2"/>
  <c r="J55" i="2"/>
  <c r="I55" i="2"/>
  <c r="D55" i="2"/>
  <c r="E55" i="2"/>
  <c r="F55" i="2"/>
  <c r="G55" i="2"/>
  <c r="H55" i="2"/>
  <c r="C55" i="2"/>
  <c r="B55" i="2"/>
  <c r="H107" i="2" l="1"/>
  <c r="H138" i="2" s="1"/>
  <c r="H106" i="2"/>
  <c r="H137" i="2" s="1"/>
  <c r="A91" i="2"/>
  <c r="O107" i="2"/>
  <c r="O138" i="2" s="1"/>
  <c r="G107" i="2"/>
  <c r="G138" i="2" s="1"/>
  <c r="N106" i="2"/>
  <c r="N137" i="2" s="1"/>
  <c r="F106" i="2"/>
  <c r="F137" i="2" s="1"/>
  <c r="M107" i="2"/>
  <c r="M138" i="2" s="1"/>
  <c r="E107" i="2"/>
  <c r="E138" i="2" s="1"/>
  <c r="D107" i="2"/>
  <c r="D138" i="2" s="1"/>
  <c r="F107" i="2"/>
  <c r="F138" i="2" s="1"/>
  <c r="C107" i="2"/>
  <c r="C138" i="2" s="1"/>
  <c r="J107" i="2"/>
  <c r="J138" i="2" s="1"/>
  <c r="B107" i="2"/>
  <c r="B138" i="2" s="1"/>
  <c r="I107" i="2"/>
  <c r="I138" i="2" s="1"/>
  <c r="A138" i="2"/>
  <c r="L106" i="2"/>
  <c r="L137" i="2" s="1"/>
  <c r="D106" i="2"/>
  <c r="D137" i="2" s="1"/>
  <c r="A89" i="2"/>
  <c r="Q107" i="2"/>
  <c r="Q138" i="2" s="1"/>
  <c r="K106" i="2"/>
  <c r="K137" i="2" s="1"/>
  <c r="C106" i="2"/>
  <c r="C137" i="2" s="1"/>
  <c r="P107" i="2"/>
  <c r="P138" i="2" s="1"/>
  <c r="J106" i="2"/>
  <c r="J137" i="2" s="1"/>
  <c r="B106" i="2"/>
  <c r="B137" i="2" s="1"/>
  <c r="Q106" i="2"/>
  <c r="Q137" i="2" s="1"/>
  <c r="I106" i="2"/>
  <c r="I137" i="2" s="1"/>
  <c r="N107" i="2"/>
  <c r="N138" i="2" s="1"/>
  <c r="A106" i="2"/>
  <c r="A102" i="2"/>
  <c r="P106" i="2"/>
  <c r="P137" i="2" s="1"/>
  <c r="L107" i="2"/>
  <c r="L138" i="2" s="1"/>
  <c r="K107" i="2"/>
  <c r="K138" i="2" s="1"/>
  <c r="M106" i="2"/>
  <c r="M137" i="2" s="1"/>
  <c r="E106" i="2"/>
  <c r="E137" i="2" s="1"/>
  <c r="O106" i="2"/>
  <c r="O137" i="2" s="1"/>
  <c r="O105" i="2"/>
  <c r="O136" i="2" s="1"/>
  <c r="G105" i="2"/>
  <c r="G136" i="2" s="1"/>
  <c r="P105" i="2"/>
  <c r="P136" i="2" s="1"/>
  <c r="H105" i="2"/>
  <c r="H136" i="2" s="1"/>
  <c r="K105" i="2"/>
  <c r="K136" i="2" s="1"/>
  <c r="C105" i="2"/>
  <c r="C136" i="2" s="1"/>
  <c r="B105" i="2"/>
  <c r="B136" i="2" s="1"/>
  <c r="Q105" i="2"/>
  <c r="Q136" i="2" s="1"/>
  <c r="I105" i="2"/>
  <c r="I136" i="2" s="1"/>
  <c r="N105" i="2"/>
  <c r="N136" i="2" s="1"/>
  <c r="F105" i="2"/>
  <c r="F136" i="2" s="1"/>
  <c r="M105" i="2"/>
  <c r="M136" i="2" s="1"/>
  <c r="E105" i="2"/>
  <c r="E136" i="2" s="1"/>
  <c r="L105" i="2"/>
  <c r="L136" i="2" s="1"/>
  <c r="D105" i="2"/>
  <c r="D136" i="2" s="1"/>
  <c r="J105" i="2"/>
  <c r="J136" i="2" s="1"/>
  <c r="A136" i="2"/>
  <c r="P104" i="2"/>
  <c r="P135" i="2" s="1"/>
  <c r="L102" i="2"/>
  <c r="L133" i="2" s="1"/>
  <c r="E103" i="2"/>
  <c r="E134" i="2" s="1"/>
  <c r="L103" i="2"/>
  <c r="L134" i="2" s="1"/>
  <c r="J102" i="2"/>
  <c r="J133" i="2" s="1"/>
  <c r="C103" i="2"/>
  <c r="C134" i="2" s="1"/>
  <c r="J103" i="2"/>
  <c r="J134" i="2" s="1"/>
  <c r="H104" i="2"/>
  <c r="H135" i="2" s="1"/>
  <c r="O104" i="2"/>
  <c r="O135" i="2" s="1"/>
  <c r="C102" i="2"/>
  <c r="C133" i="2" s="1"/>
  <c r="Q103" i="2"/>
  <c r="Q134" i="2" s="1"/>
  <c r="A104" i="2"/>
  <c r="E102" i="2"/>
  <c r="E133" i="2" s="1"/>
  <c r="D103" i="2"/>
  <c r="D134" i="2" s="1"/>
  <c r="G104" i="2"/>
  <c r="G135" i="2" s="1"/>
  <c r="D102" i="2"/>
  <c r="D133" i="2" s="1"/>
  <c r="Q102" i="2"/>
  <c r="Q133" i="2" s="1"/>
  <c r="N104" i="2"/>
  <c r="N135" i="2" s="1"/>
  <c r="F104" i="2"/>
  <c r="F135" i="2" s="1"/>
  <c r="M104" i="2"/>
  <c r="M135" i="2" s="1"/>
  <c r="E104" i="2"/>
  <c r="E135" i="2" s="1"/>
  <c r="P102" i="2"/>
  <c r="P133" i="2" s="1"/>
  <c r="B103" i="2"/>
  <c r="B134" i="2" s="1"/>
  <c r="I103" i="2"/>
  <c r="I134" i="2" s="1"/>
  <c r="P103" i="2"/>
  <c r="P134" i="2" s="1"/>
  <c r="A103" i="2"/>
  <c r="L104" i="2"/>
  <c r="L135" i="2" s="1"/>
  <c r="D104" i="2"/>
  <c r="D135" i="2" s="1"/>
  <c r="O102" i="2"/>
  <c r="O133" i="2" s="1"/>
  <c r="I102" i="2"/>
  <c r="I133" i="2" s="1"/>
  <c r="H103" i="2"/>
  <c r="H134" i="2" s="1"/>
  <c r="O103" i="2"/>
  <c r="O134" i="2" s="1"/>
  <c r="K104" i="2"/>
  <c r="K135" i="2" s="1"/>
  <c r="C104" i="2"/>
  <c r="C135" i="2" s="1"/>
  <c r="N102" i="2"/>
  <c r="N133" i="2" s="1"/>
  <c r="H102" i="2"/>
  <c r="H133" i="2" s="1"/>
  <c r="G103" i="2"/>
  <c r="G134" i="2" s="1"/>
  <c r="N103" i="2"/>
  <c r="N134" i="2" s="1"/>
  <c r="J104" i="2"/>
  <c r="J135" i="2" s="1"/>
  <c r="B104" i="2"/>
  <c r="B135" i="2" s="1"/>
  <c r="M102" i="2"/>
  <c r="M133" i="2" s="1"/>
  <c r="G102" i="2"/>
  <c r="G133" i="2" s="1"/>
  <c r="M103" i="2"/>
  <c r="M134" i="2" s="1"/>
  <c r="Q104" i="2"/>
  <c r="Q135" i="2" s="1"/>
  <c r="I104" i="2"/>
  <c r="I135" i="2" s="1"/>
  <c r="B102" i="2"/>
  <c r="B133" i="2" s="1"/>
  <c r="K103" i="2"/>
  <c r="K134" i="2" s="1"/>
  <c r="K102" i="2"/>
  <c r="K133" i="2" s="1"/>
  <c r="F102" i="2"/>
  <c r="F133" i="2" s="1"/>
  <c r="F103" i="2"/>
  <c r="F134" i="2" s="1"/>
  <c r="G100" i="2"/>
  <c r="G131" i="2" s="1"/>
  <c r="A132" i="2"/>
  <c r="P101" i="2"/>
  <c r="P132" i="2" s="1"/>
  <c r="P100" i="2"/>
  <c r="P131" i="2" s="1"/>
  <c r="O101" i="2"/>
  <c r="O132" i="2" s="1"/>
  <c r="O100" i="2"/>
  <c r="O131" i="2" s="1"/>
  <c r="K101" i="2"/>
  <c r="K132" i="2" s="1"/>
  <c r="C101" i="2"/>
  <c r="C132" i="2" s="1"/>
  <c r="K100" i="2"/>
  <c r="K131" i="2" s="1"/>
  <c r="C100" i="2"/>
  <c r="C131" i="2" s="1"/>
  <c r="N101" i="2"/>
  <c r="N132" i="2" s="1"/>
  <c r="F101" i="2"/>
  <c r="F132" i="2" s="1"/>
  <c r="N100" i="2"/>
  <c r="N131" i="2" s="1"/>
  <c r="F100" i="2"/>
  <c r="F131" i="2" s="1"/>
  <c r="G101" i="2"/>
  <c r="G132" i="2" s="1"/>
  <c r="M101" i="2"/>
  <c r="M132" i="2" s="1"/>
  <c r="E101" i="2"/>
  <c r="E132" i="2" s="1"/>
  <c r="M100" i="2"/>
  <c r="M131" i="2" s="1"/>
  <c r="E100" i="2"/>
  <c r="E131" i="2" s="1"/>
  <c r="L101" i="2"/>
  <c r="L132" i="2" s="1"/>
  <c r="D101" i="2"/>
  <c r="D132" i="2" s="1"/>
  <c r="L100" i="2"/>
  <c r="L131" i="2" s="1"/>
  <c r="D100" i="2"/>
  <c r="D131" i="2" s="1"/>
  <c r="H101" i="2"/>
  <c r="H132" i="2" s="1"/>
  <c r="H100" i="2"/>
  <c r="H131" i="2" s="1"/>
  <c r="J101" i="2"/>
  <c r="J132" i="2" s="1"/>
  <c r="B101" i="2"/>
  <c r="B132" i="2" s="1"/>
  <c r="J100" i="2"/>
  <c r="J131" i="2" s="1"/>
  <c r="B100" i="2"/>
  <c r="B131" i="2" s="1"/>
  <c r="Q101" i="2"/>
  <c r="Q132" i="2" s="1"/>
  <c r="I101" i="2"/>
  <c r="I132" i="2" s="1"/>
  <c r="Q100" i="2"/>
  <c r="Q131" i="2" s="1"/>
  <c r="I100" i="2"/>
  <c r="I131" i="2" s="1"/>
  <c r="A90" i="2"/>
  <c r="A98" i="2"/>
  <c r="A94" i="2"/>
  <c r="N92" i="2"/>
  <c r="N123" i="2" s="1"/>
  <c r="A99" i="2"/>
  <c r="H89" i="2"/>
  <c r="H120" i="2" s="1"/>
  <c r="N90" i="2"/>
  <c r="N121" i="2" s="1"/>
  <c r="A123" i="2"/>
  <c r="A124" i="2"/>
  <c r="D91" i="2"/>
  <c r="D122" i="2" s="1"/>
  <c r="Q95" i="2"/>
  <c r="Q126" i="2" s="1"/>
  <c r="Q96" i="2"/>
  <c r="Q127" i="2" s="1"/>
  <c r="H95" i="2"/>
  <c r="H126" i="2" s="1"/>
  <c r="H96" i="2"/>
  <c r="H127" i="2" s="1"/>
  <c r="H97" i="2"/>
  <c r="H128" i="2" s="1"/>
  <c r="Q98" i="2"/>
  <c r="Q129" i="2" s="1"/>
  <c r="P91" i="2"/>
  <c r="P122" i="2" s="1"/>
  <c r="H91" i="2"/>
  <c r="H122" i="2" s="1"/>
  <c r="D92" i="2"/>
  <c r="D123" i="2" s="1"/>
  <c r="E93" i="2"/>
  <c r="E124" i="2" s="1"/>
  <c r="N95" i="2"/>
  <c r="N126" i="2" s="1"/>
  <c r="N96" i="2"/>
  <c r="N127" i="2" s="1"/>
  <c r="N97" i="2"/>
  <c r="N128" i="2" s="1"/>
  <c r="Q97" i="2"/>
  <c r="Q128" i="2" s="1"/>
  <c r="G92" i="2"/>
  <c r="G123" i="2" s="1"/>
  <c r="E89" i="2"/>
  <c r="D90" i="2"/>
  <c r="D121" i="2" s="1"/>
  <c r="N91" i="2"/>
  <c r="N122" i="2" s="1"/>
  <c r="Q89" i="2"/>
  <c r="Q120" i="2" s="1"/>
  <c r="I95" i="2"/>
  <c r="I126" i="2" s="1"/>
  <c r="I96" i="2"/>
  <c r="I127" i="2" s="1"/>
  <c r="I97" i="2"/>
  <c r="I128" i="2" s="1"/>
  <c r="I98" i="2"/>
  <c r="I129" i="2" s="1"/>
  <c r="J98" i="2"/>
  <c r="J129" i="2" s="1"/>
  <c r="L99" i="2"/>
  <c r="L130" i="2" s="1"/>
  <c r="L92" i="2"/>
  <c r="L123" i="2" s="1"/>
  <c r="M93" i="2"/>
  <c r="M124" i="2" s="1"/>
  <c r="H98" i="2"/>
  <c r="H129" i="2" s="1"/>
  <c r="K99" i="2"/>
  <c r="K130" i="2" s="1"/>
  <c r="C99" i="2"/>
  <c r="C130" i="2" s="1"/>
  <c r="C92" i="2"/>
  <c r="C123" i="2" s="1"/>
  <c r="L93" i="2"/>
  <c r="L124" i="2" s="1"/>
  <c r="D93" i="2"/>
  <c r="D124" i="2" s="1"/>
  <c r="N94" i="2"/>
  <c r="N125" i="2" s="1"/>
  <c r="B91" i="2"/>
  <c r="B122" i="2" s="1"/>
  <c r="L90" i="2"/>
  <c r="L121" i="2" s="1"/>
  <c r="K90" i="2"/>
  <c r="K121" i="2" s="1"/>
  <c r="M91" i="2"/>
  <c r="M122" i="2" s="1"/>
  <c r="B93" i="2"/>
  <c r="B124" i="2" s="1"/>
  <c r="L94" i="2"/>
  <c r="L125" i="2" s="1"/>
  <c r="M94" i="2"/>
  <c r="M125" i="2" s="1"/>
  <c r="D89" i="2"/>
  <c r="C90" i="2"/>
  <c r="C121" i="2" s="1"/>
  <c r="J90" i="2"/>
  <c r="J121" i="2" s="1"/>
  <c r="B90" i="2"/>
  <c r="B121" i="2" s="1"/>
  <c r="J89" i="2"/>
  <c r="J120" i="2" s="1"/>
  <c r="I90" i="2"/>
  <c r="I121" i="2" s="1"/>
  <c r="K91" i="2"/>
  <c r="K122" i="2" s="1"/>
  <c r="D99" i="2"/>
  <c r="D130" i="2" s="1"/>
  <c r="O91" i="2"/>
  <c r="O122" i="2" s="1"/>
  <c r="P95" i="2"/>
  <c r="P126" i="2" s="1"/>
  <c r="P96" i="2"/>
  <c r="P127" i="2" s="1"/>
  <c r="G91" i="2"/>
  <c r="G122" i="2" s="1"/>
  <c r="F94" i="2"/>
  <c r="F125" i="2" s="1"/>
  <c r="F91" i="2"/>
  <c r="F122" i="2" s="1"/>
  <c r="E94" i="2"/>
  <c r="E125" i="2" s="1"/>
  <c r="O95" i="2"/>
  <c r="O126" i="2" s="1"/>
  <c r="G95" i="2"/>
  <c r="G126" i="2" s="1"/>
  <c r="O96" i="2"/>
  <c r="O127" i="2" s="1"/>
  <c r="G96" i="2"/>
  <c r="G127" i="2" s="1"/>
  <c r="G97" i="2"/>
  <c r="G128" i="2" s="1"/>
  <c r="O97" i="2"/>
  <c r="O128" i="2" s="1"/>
  <c r="P98" i="2"/>
  <c r="P129" i="2" s="1"/>
  <c r="G98" i="2"/>
  <c r="G129" i="2" s="1"/>
  <c r="J99" i="2"/>
  <c r="J130" i="2" s="1"/>
  <c r="B99" i="2"/>
  <c r="B130" i="2" s="1"/>
  <c r="E91" i="2"/>
  <c r="E122" i="2" s="1"/>
  <c r="D94" i="2"/>
  <c r="D125" i="2" s="1"/>
  <c r="F95" i="2"/>
  <c r="F126" i="2" s="1"/>
  <c r="F96" i="2"/>
  <c r="F127" i="2" s="1"/>
  <c r="F97" i="2"/>
  <c r="F128" i="2" s="1"/>
  <c r="O98" i="2"/>
  <c r="O129" i="2" s="1"/>
  <c r="F98" i="2"/>
  <c r="F129" i="2" s="1"/>
  <c r="Q99" i="2"/>
  <c r="Q130" i="2" s="1"/>
  <c r="I99" i="2"/>
  <c r="I130" i="2" s="1"/>
  <c r="J93" i="2"/>
  <c r="J124" i="2" s="1"/>
  <c r="P90" i="2"/>
  <c r="P121" i="2" s="1"/>
  <c r="H90" i="2"/>
  <c r="H121" i="2" s="1"/>
  <c r="Q93" i="2"/>
  <c r="Q124" i="2" s="1"/>
  <c r="I93" i="2"/>
  <c r="I124" i="2" s="1"/>
  <c r="K94" i="2"/>
  <c r="K125" i="2" s="1"/>
  <c r="C94" i="2"/>
  <c r="C125" i="2" s="1"/>
  <c r="M95" i="2"/>
  <c r="M126" i="2" s="1"/>
  <c r="E95" i="2"/>
  <c r="E126" i="2" s="1"/>
  <c r="M96" i="2"/>
  <c r="M127" i="2" s="1"/>
  <c r="E96" i="2"/>
  <c r="E127" i="2" s="1"/>
  <c r="E97" i="2"/>
  <c r="E128" i="2" s="1"/>
  <c r="M97" i="2"/>
  <c r="M128" i="2" s="1"/>
  <c r="N98" i="2"/>
  <c r="N129" i="2" s="1"/>
  <c r="E98" i="2"/>
  <c r="E129" i="2" s="1"/>
  <c r="P99" i="2"/>
  <c r="P130" i="2" s="1"/>
  <c r="H99" i="2"/>
  <c r="H130" i="2" s="1"/>
  <c r="P97" i="2"/>
  <c r="P128" i="2" s="1"/>
  <c r="Q90" i="2"/>
  <c r="Q121" i="2" s="1"/>
  <c r="L89" i="2"/>
  <c r="L120" i="2" s="1"/>
  <c r="O90" i="2"/>
  <c r="O121" i="2" s="1"/>
  <c r="G90" i="2"/>
  <c r="G121" i="2" s="1"/>
  <c r="C91" i="2"/>
  <c r="C122" i="2" s="1"/>
  <c r="P93" i="2"/>
  <c r="P124" i="2" s="1"/>
  <c r="H93" i="2"/>
  <c r="H124" i="2" s="1"/>
  <c r="J94" i="2"/>
  <c r="J125" i="2" s="1"/>
  <c r="B94" i="2"/>
  <c r="B125" i="2" s="1"/>
  <c r="L95" i="2"/>
  <c r="L126" i="2" s="1"/>
  <c r="D95" i="2"/>
  <c r="D126" i="2" s="1"/>
  <c r="L96" i="2"/>
  <c r="L127" i="2" s="1"/>
  <c r="D96" i="2"/>
  <c r="D127" i="2" s="1"/>
  <c r="D97" i="2"/>
  <c r="D128" i="2" s="1"/>
  <c r="L97" i="2"/>
  <c r="L128" i="2" s="1"/>
  <c r="M98" i="2"/>
  <c r="M129" i="2" s="1"/>
  <c r="O99" i="2"/>
  <c r="O130" i="2" s="1"/>
  <c r="G99" i="2"/>
  <c r="G130" i="2" s="1"/>
  <c r="M89" i="2"/>
  <c r="M120" i="2" s="1"/>
  <c r="F90" i="2"/>
  <c r="F121" i="2" s="1"/>
  <c r="O93" i="2"/>
  <c r="O124" i="2" s="1"/>
  <c r="G93" i="2"/>
  <c r="G124" i="2" s="1"/>
  <c r="Q94" i="2"/>
  <c r="Q125" i="2" s="1"/>
  <c r="I94" i="2"/>
  <c r="I125" i="2" s="1"/>
  <c r="K95" i="2"/>
  <c r="K126" i="2" s="1"/>
  <c r="C95" i="2"/>
  <c r="C126" i="2" s="1"/>
  <c r="K96" i="2"/>
  <c r="K127" i="2" s="1"/>
  <c r="C96" i="2"/>
  <c r="C127" i="2" s="1"/>
  <c r="C97" i="2"/>
  <c r="C128" i="2" s="1"/>
  <c r="K97" i="2"/>
  <c r="K128" i="2" s="1"/>
  <c r="N99" i="2"/>
  <c r="N130" i="2" s="1"/>
  <c r="F99" i="2"/>
  <c r="F130" i="2" s="1"/>
  <c r="C89" i="2"/>
  <c r="C120" i="2" s="1"/>
  <c r="J91" i="2"/>
  <c r="J122" i="2" s="1"/>
  <c r="F92" i="2"/>
  <c r="F123" i="2" s="1"/>
  <c r="F89" i="2"/>
  <c r="F120" i="2" s="1"/>
  <c r="M90" i="2"/>
  <c r="M121" i="2" s="1"/>
  <c r="E90" i="2"/>
  <c r="E121" i="2" s="1"/>
  <c r="Q91" i="2"/>
  <c r="Q122" i="2" s="1"/>
  <c r="I91" i="2"/>
  <c r="I122" i="2" s="1"/>
  <c r="E92" i="2"/>
  <c r="E123" i="2" s="1"/>
  <c r="M92" i="2"/>
  <c r="M123" i="2" s="1"/>
  <c r="N93" i="2"/>
  <c r="N124" i="2" s="1"/>
  <c r="F93" i="2"/>
  <c r="F124" i="2" s="1"/>
  <c r="P94" i="2"/>
  <c r="P125" i="2" s="1"/>
  <c r="H94" i="2"/>
  <c r="H125" i="2" s="1"/>
  <c r="J95" i="2"/>
  <c r="J126" i="2" s="1"/>
  <c r="B95" i="2"/>
  <c r="B126" i="2" s="1"/>
  <c r="J96" i="2"/>
  <c r="J127" i="2" s="1"/>
  <c r="B96" i="2"/>
  <c r="B127" i="2" s="1"/>
  <c r="B97" i="2"/>
  <c r="B128" i="2" s="1"/>
  <c r="J97" i="2"/>
  <c r="J128" i="2" s="1"/>
  <c r="L91" i="2"/>
  <c r="L122" i="2" s="1"/>
  <c r="J92" i="2"/>
  <c r="J123" i="2" s="1"/>
  <c r="B92" i="2"/>
  <c r="B123" i="2" s="1"/>
  <c r="K93" i="2"/>
  <c r="K124" i="2" s="1"/>
  <c r="C93" i="2"/>
  <c r="C124" i="2" s="1"/>
  <c r="O94" i="2"/>
  <c r="O125" i="2" s="1"/>
  <c r="G94" i="2"/>
  <c r="G125" i="2" s="1"/>
  <c r="G88" i="2"/>
  <c r="G119" i="2" s="1"/>
  <c r="D98" i="2"/>
  <c r="D129" i="2" s="1"/>
  <c r="L98" i="2"/>
  <c r="L129" i="2" s="1"/>
  <c r="M99" i="2"/>
  <c r="M130" i="2" s="1"/>
  <c r="E99" i="2"/>
  <c r="E130" i="2" s="1"/>
  <c r="I92" i="2"/>
  <c r="I123" i="2" s="1"/>
  <c r="C98" i="2"/>
  <c r="C129" i="2" s="1"/>
  <c r="K98" i="2"/>
  <c r="K129" i="2" s="1"/>
  <c r="N89" i="2"/>
  <c r="N120" i="2" s="1"/>
  <c r="Q92" i="2"/>
  <c r="Q123" i="2" s="1"/>
  <c r="H92" i="2"/>
  <c r="H123" i="2" s="1"/>
  <c r="B98" i="2"/>
  <c r="B129" i="2" s="1"/>
  <c r="K92" i="2"/>
  <c r="K123" i="2" s="1"/>
  <c r="P92" i="2"/>
  <c r="P123" i="2" s="1"/>
  <c r="O92" i="2"/>
  <c r="O123" i="2" s="1"/>
  <c r="K89" i="2"/>
  <c r="K120" i="2" s="1"/>
  <c r="A95" i="2"/>
  <c r="A96" i="2"/>
  <c r="A97" i="2"/>
  <c r="C88" i="2"/>
  <c r="C119" i="2" s="1"/>
  <c r="I89" i="2"/>
  <c r="I120" i="2" s="1"/>
  <c r="O89" i="2"/>
  <c r="O120" i="2" s="1"/>
  <c r="P89" i="2"/>
  <c r="P120" i="2" s="1"/>
  <c r="G89" i="2"/>
  <c r="G120" i="2" s="1"/>
  <c r="B89" i="2"/>
  <c r="B120" i="2" s="1"/>
  <c r="D119" i="2"/>
  <c r="E119" i="2"/>
  <c r="H119" i="2"/>
  <c r="I119" i="2"/>
  <c r="J119" i="2"/>
  <c r="K119" i="2"/>
  <c r="L119" i="2"/>
  <c r="M119" i="2"/>
  <c r="N119" i="2"/>
  <c r="O119" i="2"/>
  <c r="P119" i="2"/>
  <c r="Q119" i="2"/>
  <c r="E120" i="2" l="1"/>
  <c r="D120" i="2"/>
  <c r="F119" i="2"/>
</calcChain>
</file>

<file path=xl/sharedStrings.xml><?xml version="1.0" encoding="utf-8"?>
<sst xmlns="http://schemas.openxmlformats.org/spreadsheetml/2006/main" count="99" uniqueCount="26">
  <si>
    <t>NSG</t>
  </si>
  <si>
    <t>Left</t>
  </si>
  <si>
    <t>Right</t>
  </si>
  <si>
    <t>NSG_Female mice</t>
  </si>
  <si>
    <t>Cage #</t>
  </si>
  <si>
    <t xml:space="preserve">From Andriy in mouse channel </t>
  </si>
  <si>
    <t xml:space="preserve">No measurement --&gt; hence kept minimal from previous round of measurement </t>
  </si>
  <si>
    <t>substracting skin measurement</t>
  </si>
  <si>
    <t>Cubed * 100</t>
  </si>
  <si>
    <t>08 11 2021</t>
  </si>
  <si>
    <t>245F</t>
  </si>
  <si>
    <t>08 30 201</t>
  </si>
  <si>
    <t>Normalized</t>
  </si>
  <si>
    <t>08 31 2021</t>
  </si>
  <si>
    <t>Animals were injected with H3122- pinducer EML4-ALK ole</t>
  </si>
  <si>
    <t xml:space="preserve">We switched mice to dox food </t>
  </si>
  <si>
    <t>09 02 2021</t>
  </si>
  <si>
    <t>Alectinib, continuous 25 mg/ kg</t>
  </si>
  <si>
    <t>Alectinib, intermittent 50 mg/ kg</t>
  </si>
  <si>
    <t>WEEKS</t>
  </si>
  <si>
    <t>I will switch the diet today so that to activate the exogenous ALK before we initiate treatment</t>
  </si>
  <si>
    <t>Rx break starts for 1 groups</t>
  </si>
  <si>
    <t>09 09 2021</t>
  </si>
  <si>
    <t>starting the off week for the 50/0 cage (#839-)</t>
  </si>
  <si>
    <t>We started with Alectinib treatment, either 25 mg/kg for continuous group or 50 mg/kg for intermittent</t>
  </si>
  <si>
    <t>Exclude from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</si>
</sst>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Arial "/>
    </font>
    <font>
      <b/>
      <sz val="14"/>
      <name val="Arial"/>
      <family val="2"/>
    </font>
    <font>
      <sz val="14"/>
      <color theme="0" tint="-0.249977111117893"/>
      <name val="Arial"/>
      <family val="2"/>
    </font>
    <font>
      <sz val="14"/>
      <color theme="0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0" fillId="0" borderId="0" xfId="0" applyFont="1" applyFill="1"/>
    <xf numFmtId="14" fontId="10" fillId="0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C00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5897-77D3-114E-B856-EDDDDDDEF631}">
  <dimension ref="A1:AE149"/>
  <sheetViews>
    <sheetView tabSelected="1" topLeftCell="A126" zoomScale="80" zoomScaleNormal="80" workbookViewId="0">
      <selection activeCell="N146" sqref="N146"/>
    </sheetView>
  </sheetViews>
  <sheetFormatPr baseColWidth="10" defaultRowHeight="18"/>
  <cols>
    <col min="1" max="1" width="22.33203125" style="1" bestFit="1" customWidth="1"/>
    <col min="2" max="16384" width="10.83203125" style="1"/>
  </cols>
  <sheetData>
    <row r="1" spans="1:18">
      <c r="A1" s="5" t="s">
        <v>9</v>
      </c>
      <c r="B1" s="85" t="s">
        <v>14</v>
      </c>
      <c r="C1" s="85"/>
      <c r="D1" s="85"/>
      <c r="E1" s="85"/>
      <c r="F1" s="85"/>
      <c r="G1" s="85"/>
      <c r="H1" s="85"/>
      <c r="I1" s="85"/>
      <c r="J1" s="85"/>
      <c r="K1" s="85"/>
    </row>
    <row r="2" spans="1:18">
      <c r="A2" s="5" t="s">
        <v>13</v>
      </c>
      <c r="B2" s="85" t="s">
        <v>15</v>
      </c>
      <c r="C2" s="85"/>
      <c r="D2" s="85"/>
      <c r="E2" s="85"/>
      <c r="F2" s="85"/>
    </row>
    <row r="3" spans="1:18">
      <c r="A3" s="5" t="s">
        <v>16</v>
      </c>
      <c r="B3" s="85" t="s">
        <v>24</v>
      </c>
      <c r="C3" s="85"/>
      <c r="D3" s="85"/>
      <c r="E3" s="85"/>
      <c r="F3" s="85"/>
      <c r="G3" s="85"/>
      <c r="H3" s="85"/>
      <c r="I3" s="85"/>
      <c r="J3" s="85"/>
      <c r="K3" s="85"/>
      <c r="L3" s="85"/>
    </row>
    <row r="4" spans="1:18" ht="19" thickBot="1">
      <c r="A4" s="6"/>
      <c r="B4" s="6"/>
      <c r="C4" s="6"/>
      <c r="D4" s="6"/>
      <c r="E4" s="6"/>
      <c r="F4" s="6"/>
    </row>
    <row r="5" spans="1:18" ht="19" thickBot="1">
      <c r="B5" s="86" t="s">
        <v>3</v>
      </c>
      <c r="C5" s="87"/>
    </row>
    <row r="6" spans="1:18" ht="19" thickBot="1">
      <c r="A6" s="1" t="s">
        <v>4</v>
      </c>
      <c r="B6" s="34" t="s">
        <v>10</v>
      </c>
      <c r="C6" s="50">
        <v>239</v>
      </c>
      <c r="D6" s="6"/>
      <c r="H6" s="15"/>
    </row>
    <row r="7" spans="1:18">
      <c r="B7" s="30">
        <v>14</v>
      </c>
      <c r="C7" s="31">
        <v>839</v>
      </c>
      <c r="D7" s="6"/>
    </row>
    <row r="8" spans="1:18">
      <c r="B8" s="2">
        <v>15</v>
      </c>
      <c r="C8" s="31">
        <v>840</v>
      </c>
      <c r="D8" s="6"/>
    </row>
    <row r="9" spans="1:18">
      <c r="B9" s="2">
        <v>16</v>
      </c>
      <c r="C9" s="31">
        <v>1</v>
      </c>
      <c r="D9" s="6"/>
    </row>
    <row r="10" spans="1:18" ht="19" thickBot="1">
      <c r="B10" s="3">
        <v>17</v>
      </c>
      <c r="C10" s="32">
        <v>2</v>
      </c>
      <c r="D10" s="6"/>
    </row>
    <row r="11" spans="1:18">
      <c r="A11" s="6"/>
      <c r="B11" s="6"/>
      <c r="C11" s="6"/>
      <c r="D11" s="6"/>
      <c r="E11" s="6"/>
      <c r="F11" s="6"/>
    </row>
    <row r="13" spans="1:18" ht="19" thickBot="1"/>
    <row r="14" spans="1:18" ht="19" thickBot="1">
      <c r="A14" s="7" t="s">
        <v>0</v>
      </c>
      <c r="B14" s="72" t="s">
        <v>10</v>
      </c>
      <c r="C14" s="73"/>
      <c r="D14" s="73"/>
      <c r="E14" s="73"/>
      <c r="F14" s="73"/>
      <c r="G14" s="73"/>
      <c r="H14" s="73"/>
      <c r="I14" s="74"/>
      <c r="J14" s="72">
        <v>239</v>
      </c>
      <c r="K14" s="73"/>
      <c r="L14" s="73"/>
      <c r="M14" s="73"/>
      <c r="N14" s="73"/>
      <c r="O14" s="73"/>
      <c r="P14" s="73"/>
      <c r="Q14" s="74"/>
      <c r="R14" s="6"/>
    </row>
    <row r="15" spans="1:18" ht="19" thickBot="1">
      <c r="A15" s="7"/>
      <c r="B15" s="72" t="s">
        <v>17</v>
      </c>
      <c r="C15" s="73"/>
      <c r="D15" s="73"/>
      <c r="E15" s="73"/>
      <c r="F15" s="73"/>
      <c r="G15" s="73"/>
      <c r="H15" s="73"/>
      <c r="I15" s="74"/>
      <c r="J15" s="72" t="s">
        <v>18</v>
      </c>
      <c r="K15" s="73"/>
      <c r="L15" s="73"/>
      <c r="M15" s="73"/>
      <c r="N15" s="73"/>
      <c r="O15" s="73"/>
      <c r="P15" s="73"/>
      <c r="Q15" s="74"/>
      <c r="R15" s="6"/>
    </row>
    <row r="16" spans="1:18" ht="19">
      <c r="A16" s="8"/>
      <c r="B16" s="75">
        <v>14</v>
      </c>
      <c r="C16" s="76"/>
      <c r="D16" s="77">
        <v>15</v>
      </c>
      <c r="E16" s="77"/>
      <c r="F16" s="77">
        <v>16</v>
      </c>
      <c r="G16" s="77"/>
      <c r="H16" s="77">
        <v>17</v>
      </c>
      <c r="I16" s="78"/>
      <c r="J16" s="79">
        <v>839</v>
      </c>
      <c r="K16" s="80"/>
      <c r="L16" s="81">
        <v>840</v>
      </c>
      <c r="M16" s="80"/>
      <c r="N16" s="81">
        <v>1</v>
      </c>
      <c r="O16" s="80"/>
      <c r="P16" s="81">
        <v>2</v>
      </c>
      <c r="Q16" s="82"/>
      <c r="R16" s="6"/>
    </row>
    <row r="17" spans="1:18" ht="20" thickBot="1">
      <c r="A17" s="8"/>
      <c r="B17" s="26" t="s">
        <v>1</v>
      </c>
      <c r="C17" s="9" t="s">
        <v>2</v>
      </c>
      <c r="D17" s="9" t="s">
        <v>1</v>
      </c>
      <c r="E17" s="9" t="s">
        <v>2</v>
      </c>
      <c r="F17" s="9" t="s">
        <v>1</v>
      </c>
      <c r="G17" s="9" t="s">
        <v>2</v>
      </c>
      <c r="H17" s="9" t="s">
        <v>1</v>
      </c>
      <c r="I17" s="10" t="s">
        <v>2</v>
      </c>
      <c r="J17" s="11" t="s">
        <v>1</v>
      </c>
      <c r="K17" s="12" t="s">
        <v>2</v>
      </c>
      <c r="L17" s="12" t="s">
        <v>1</v>
      </c>
      <c r="M17" s="12" t="s">
        <v>2</v>
      </c>
      <c r="N17" s="12" t="s">
        <v>1</v>
      </c>
      <c r="O17" s="12" t="s">
        <v>2</v>
      </c>
      <c r="P17" s="12" t="s">
        <v>1</v>
      </c>
      <c r="Q17" s="13" t="s">
        <v>2</v>
      </c>
      <c r="R17" s="6"/>
    </row>
    <row r="18" spans="1:18" s="43" customFormat="1" ht="19">
      <c r="A18" s="44" t="s">
        <v>11</v>
      </c>
      <c r="B18" s="38">
        <v>2.4</v>
      </c>
      <c r="C18" s="39">
        <v>3.3</v>
      </c>
      <c r="D18" s="40">
        <v>3.7</v>
      </c>
      <c r="E18" s="40">
        <v>3</v>
      </c>
      <c r="F18" s="40">
        <v>3</v>
      </c>
      <c r="G18" s="40">
        <v>3</v>
      </c>
      <c r="H18" s="40">
        <v>2.7</v>
      </c>
      <c r="I18" s="41">
        <v>3.2</v>
      </c>
      <c r="J18" s="42">
        <v>4</v>
      </c>
      <c r="K18" s="58">
        <v>3</v>
      </c>
      <c r="L18" s="59"/>
      <c r="M18" s="58">
        <v>3.16</v>
      </c>
      <c r="N18" s="58">
        <v>3.5</v>
      </c>
      <c r="O18" s="58">
        <v>3.5</v>
      </c>
      <c r="P18" s="60">
        <v>3.8</v>
      </c>
      <c r="Q18" s="61">
        <v>3.7</v>
      </c>
      <c r="R18" s="37"/>
    </row>
    <row r="19" spans="1:18">
      <c r="A19" s="5">
        <v>44441</v>
      </c>
      <c r="B19" s="24">
        <v>3.4</v>
      </c>
      <c r="C19" s="22">
        <v>4.7</v>
      </c>
      <c r="D19" s="22">
        <v>4.9000000000000004</v>
      </c>
      <c r="E19" s="22">
        <v>4.8</v>
      </c>
      <c r="F19" s="22">
        <v>4.3</v>
      </c>
      <c r="G19" s="22">
        <v>4.0999999999999996</v>
      </c>
      <c r="H19" s="22">
        <v>3.7</v>
      </c>
      <c r="I19" s="17">
        <v>3.5</v>
      </c>
      <c r="J19" s="18">
        <v>5.2</v>
      </c>
      <c r="K19" s="16">
        <v>3.8</v>
      </c>
      <c r="L19" s="23">
        <v>1</v>
      </c>
      <c r="M19" s="16">
        <v>4.3</v>
      </c>
      <c r="N19" s="16">
        <v>4.7</v>
      </c>
      <c r="O19" s="16">
        <v>4</v>
      </c>
      <c r="P19" s="16">
        <v>4.7</v>
      </c>
      <c r="Q19" s="17">
        <v>4.2</v>
      </c>
      <c r="R19" s="6"/>
    </row>
    <row r="20" spans="1:18" s="15" customFormat="1">
      <c r="A20" s="45">
        <v>44445</v>
      </c>
      <c r="B20" s="24">
        <v>2.8</v>
      </c>
      <c r="C20" s="33">
        <v>3.8</v>
      </c>
      <c r="D20" s="33">
        <v>4</v>
      </c>
      <c r="E20" s="33">
        <v>3.7</v>
      </c>
      <c r="F20" s="33">
        <v>2.4</v>
      </c>
      <c r="G20" s="33">
        <v>3.3</v>
      </c>
      <c r="H20" s="33">
        <v>3</v>
      </c>
      <c r="I20" s="25">
        <v>3.1</v>
      </c>
      <c r="J20" s="24">
        <v>4.2</v>
      </c>
      <c r="K20" s="23">
        <v>3.4</v>
      </c>
      <c r="L20" s="62">
        <v>1</v>
      </c>
      <c r="M20" s="23">
        <v>3.3</v>
      </c>
      <c r="N20" s="23">
        <v>3.3</v>
      </c>
      <c r="O20" s="23">
        <v>3.2</v>
      </c>
      <c r="P20" s="23">
        <v>3.6</v>
      </c>
      <c r="Q20" s="25">
        <v>3.3</v>
      </c>
      <c r="R20" s="14"/>
    </row>
    <row r="21" spans="1:18" s="15" customFormat="1">
      <c r="A21" s="51">
        <v>44448</v>
      </c>
      <c r="B21" s="24">
        <v>2.6</v>
      </c>
      <c r="C21" s="23">
        <v>3.7</v>
      </c>
      <c r="D21" s="23">
        <v>3.6</v>
      </c>
      <c r="E21" s="23">
        <v>3.7</v>
      </c>
      <c r="F21" s="23">
        <v>3.2</v>
      </c>
      <c r="G21" s="23">
        <v>3.1</v>
      </c>
      <c r="H21" s="23">
        <v>2.8</v>
      </c>
      <c r="I21" s="25">
        <v>2.9</v>
      </c>
      <c r="J21" s="52">
        <v>3.9</v>
      </c>
      <c r="K21" s="53">
        <v>3.1</v>
      </c>
      <c r="L21" s="53">
        <v>1</v>
      </c>
      <c r="M21" s="53">
        <v>3.1</v>
      </c>
      <c r="N21" s="53">
        <v>3.3</v>
      </c>
      <c r="O21" s="53">
        <v>2.8</v>
      </c>
      <c r="P21" s="53">
        <v>3.1</v>
      </c>
      <c r="Q21" s="54">
        <v>3</v>
      </c>
      <c r="R21" s="14"/>
    </row>
    <row r="22" spans="1:18" s="15" customFormat="1">
      <c r="A22" s="45">
        <v>44452</v>
      </c>
      <c r="B22" s="24">
        <v>3</v>
      </c>
      <c r="C22" s="23">
        <v>3.8</v>
      </c>
      <c r="D22" s="23">
        <v>3.6</v>
      </c>
      <c r="E22" s="23">
        <v>3.45</v>
      </c>
      <c r="F22" s="23">
        <v>3</v>
      </c>
      <c r="G22" s="23">
        <v>3.15</v>
      </c>
      <c r="H22" s="23">
        <v>2.65</v>
      </c>
      <c r="I22" s="25">
        <v>3.3</v>
      </c>
      <c r="J22" s="24">
        <v>4.5999999999999996</v>
      </c>
      <c r="K22" s="23">
        <v>3.3</v>
      </c>
      <c r="L22" s="62">
        <v>1</v>
      </c>
      <c r="M22" s="23">
        <v>3.8</v>
      </c>
      <c r="N22" s="23">
        <v>3.3</v>
      </c>
      <c r="O22" s="23">
        <v>3.7</v>
      </c>
      <c r="P22" s="23">
        <v>3.4</v>
      </c>
      <c r="Q22" s="25">
        <v>3.7</v>
      </c>
      <c r="R22" s="14"/>
    </row>
    <row r="23" spans="1:18" s="15" customFormat="1">
      <c r="A23" s="45">
        <v>44456</v>
      </c>
      <c r="B23" s="24">
        <v>2.7</v>
      </c>
      <c r="C23" s="23">
        <v>3.9</v>
      </c>
      <c r="D23" s="23">
        <v>4</v>
      </c>
      <c r="E23" s="23">
        <v>3.5</v>
      </c>
      <c r="F23" s="23">
        <v>2.4</v>
      </c>
      <c r="G23" s="23">
        <v>3.3</v>
      </c>
      <c r="H23" s="23">
        <v>2.4</v>
      </c>
      <c r="I23" s="25">
        <v>1.9</v>
      </c>
      <c r="J23" s="24">
        <v>5.3</v>
      </c>
      <c r="K23" s="23">
        <v>3.4</v>
      </c>
      <c r="L23" s="23">
        <v>0.8</v>
      </c>
      <c r="M23" s="23">
        <v>4.2</v>
      </c>
      <c r="N23" s="23">
        <v>4.0999999999999996</v>
      </c>
      <c r="O23" s="23">
        <v>2.9</v>
      </c>
      <c r="P23" s="23">
        <v>3.7</v>
      </c>
      <c r="Q23" s="25">
        <v>3.9</v>
      </c>
      <c r="R23" s="14"/>
    </row>
    <row r="24" spans="1:18" s="15" customFormat="1">
      <c r="A24" s="45">
        <v>44458</v>
      </c>
      <c r="B24" s="24">
        <v>2.6</v>
      </c>
      <c r="C24" s="23">
        <v>3.6</v>
      </c>
      <c r="D24" s="23">
        <v>3.9</v>
      </c>
      <c r="E24" s="23">
        <v>3.6</v>
      </c>
      <c r="F24" s="23">
        <v>3.5</v>
      </c>
      <c r="G24" s="23">
        <v>4</v>
      </c>
      <c r="H24" s="23">
        <v>2.8</v>
      </c>
      <c r="I24" s="25">
        <v>2.9</v>
      </c>
      <c r="J24" s="24">
        <v>4.5999999999999996</v>
      </c>
      <c r="K24" s="23">
        <v>3.2</v>
      </c>
      <c r="L24" s="62">
        <v>1</v>
      </c>
      <c r="M24" s="23">
        <v>4.2</v>
      </c>
      <c r="N24" s="23">
        <v>3.4</v>
      </c>
      <c r="O24" s="23">
        <v>3.8</v>
      </c>
      <c r="P24" s="23">
        <v>3.9</v>
      </c>
      <c r="Q24" s="25">
        <v>4</v>
      </c>
      <c r="R24" s="14"/>
    </row>
    <row r="25" spans="1:18" s="15" customFormat="1">
      <c r="A25" s="51">
        <v>44461</v>
      </c>
      <c r="B25" s="24">
        <v>3.1</v>
      </c>
      <c r="C25" s="23">
        <v>4</v>
      </c>
      <c r="D25" s="23">
        <v>4</v>
      </c>
      <c r="E25" s="23">
        <v>3.7</v>
      </c>
      <c r="F25" s="23">
        <v>3.4</v>
      </c>
      <c r="G25" s="23">
        <v>4.5</v>
      </c>
      <c r="H25" s="23">
        <v>2.9</v>
      </c>
      <c r="I25" s="25">
        <v>2.9</v>
      </c>
      <c r="J25" s="52">
        <v>4.9000000000000004</v>
      </c>
      <c r="K25" s="53">
        <v>3.5</v>
      </c>
      <c r="L25" s="62">
        <v>1</v>
      </c>
      <c r="M25" s="53">
        <v>3.9</v>
      </c>
      <c r="N25" s="53">
        <v>3.6</v>
      </c>
      <c r="O25" s="53">
        <v>3.7</v>
      </c>
      <c r="P25" s="53">
        <v>3.8</v>
      </c>
      <c r="Q25" s="54">
        <v>3.6</v>
      </c>
      <c r="R25" s="14"/>
    </row>
    <row r="26" spans="1:18" s="15" customFormat="1">
      <c r="A26" s="45">
        <v>44466</v>
      </c>
      <c r="B26" s="24">
        <v>3</v>
      </c>
      <c r="C26" s="23">
        <v>4</v>
      </c>
      <c r="D26" s="23">
        <v>4.0999999999999996</v>
      </c>
      <c r="E26" s="23">
        <v>4.0999999999999996</v>
      </c>
      <c r="F26" s="23">
        <v>3.5</v>
      </c>
      <c r="G26" s="23">
        <v>4.0999999999999996</v>
      </c>
      <c r="H26" s="23">
        <v>3</v>
      </c>
      <c r="I26" s="25">
        <v>2.9</v>
      </c>
      <c r="J26" s="24">
        <v>5.2</v>
      </c>
      <c r="K26" s="23">
        <v>3.5</v>
      </c>
      <c r="L26" s="62">
        <v>1</v>
      </c>
      <c r="M26" s="23">
        <v>4.5999999999999996</v>
      </c>
      <c r="N26" s="23">
        <v>3.95</v>
      </c>
      <c r="O26" s="23">
        <v>4.0999999999999996</v>
      </c>
      <c r="P26" s="23">
        <v>4.5</v>
      </c>
      <c r="Q26" s="25">
        <v>4.4000000000000004</v>
      </c>
      <c r="R26" s="14"/>
    </row>
    <row r="27" spans="1:18">
      <c r="A27" s="45">
        <v>44471</v>
      </c>
      <c r="B27" s="18">
        <v>3.1</v>
      </c>
      <c r="C27" s="16">
        <v>4.2</v>
      </c>
      <c r="D27" s="16">
        <v>4.5999999999999996</v>
      </c>
      <c r="E27" s="16">
        <v>4.2</v>
      </c>
      <c r="F27" s="16">
        <v>4</v>
      </c>
      <c r="G27" s="16">
        <v>5.3</v>
      </c>
      <c r="H27" s="16">
        <v>3.3</v>
      </c>
      <c r="I27" s="17">
        <v>2.8</v>
      </c>
      <c r="J27" s="24">
        <v>5.7</v>
      </c>
      <c r="K27" s="23">
        <v>4.2</v>
      </c>
      <c r="L27" s="23">
        <v>1</v>
      </c>
      <c r="M27" s="23">
        <v>4.5999999999999996</v>
      </c>
      <c r="N27" s="23">
        <v>4.4000000000000004</v>
      </c>
      <c r="O27" s="23">
        <v>4.2</v>
      </c>
      <c r="P27" s="23">
        <v>4.7</v>
      </c>
      <c r="Q27" s="25">
        <v>4.4000000000000004</v>
      </c>
      <c r="R27" s="6"/>
    </row>
    <row r="28" spans="1:18">
      <c r="A28" s="5">
        <v>44473</v>
      </c>
      <c r="B28" s="18">
        <v>3.3</v>
      </c>
      <c r="C28" s="16">
        <v>4.3</v>
      </c>
      <c r="D28" s="16">
        <v>4.5999999999999996</v>
      </c>
      <c r="E28" s="16">
        <v>4.4000000000000004</v>
      </c>
      <c r="F28" s="16">
        <v>3.8</v>
      </c>
      <c r="G28" s="16">
        <v>4.7</v>
      </c>
      <c r="H28" s="16">
        <v>3.2</v>
      </c>
      <c r="I28" s="17">
        <v>2.8</v>
      </c>
      <c r="J28" s="18">
        <v>5.9</v>
      </c>
      <c r="K28" s="16">
        <v>4.0999999999999996</v>
      </c>
      <c r="L28" s="62">
        <v>1</v>
      </c>
      <c r="M28" s="16">
        <v>4.5999999999999996</v>
      </c>
      <c r="N28" s="16">
        <v>4.0999999999999996</v>
      </c>
      <c r="O28" s="16">
        <v>4.3</v>
      </c>
      <c r="P28" s="16">
        <v>4.5999999999999996</v>
      </c>
      <c r="Q28" s="17">
        <v>4.8</v>
      </c>
      <c r="R28" s="6"/>
    </row>
    <row r="29" spans="1:18">
      <c r="A29" s="51">
        <v>44477</v>
      </c>
      <c r="B29" s="18">
        <v>3.4</v>
      </c>
      <c r="C29" s="16">
        <v>4.5999999999999996</v>
      </c>
      <c r="D29" s="16">
        <v>4.8</v>
      </c>
      <c r="E29" s="16">
        <v>5</v>
      </c>
      <c r="F29" s="16">
        <v>4</v>
      </c>
      <c r="G29" s="16">
        <v>4.9000000000000004</v>
      </c>
      <c r="H29" s="16">
        <v>3.4</v>
      </c>
      <c r="I29" s="17">
        <v>3</v>
      </c>
      <c r="J29" s="52">
        <v>6.1</v>
      </c>
      <c r="K29" s="53">
        <v>4.3</v>
      </c>
      <c r="L29" s="63">
        <v>1</v>
      </c>
      <c r="M29" s="53">
        <v>4.75</v>
      </c>
      <c r="N29" s="53">
        <v>4.2</v>
      </c>
      <c r="O29" s="53">
        <v>4</v>
      </c>
      <c r="P29" s="53">
        <v>5</v>
      </c>
      <c r="Q29" s="54">
        <v>4.7</v>
      </c>
      <c r="R29" s="6"/>
    </row>
    <row r="30" spans="1:18">
      <c r="A30" s="5">
        <v>44480</v>
      </c>
      <c r="B30" s="18">
        <v>3.4</v>
      </c>
      <c r="C30" s="16">
        <v>4.7</v>
      </c>
      <c r="D30" s="16">
        <v>4.8</v>
      </c>
      <c r="E30" s="16">
        <v>5.2</v>
      </c>
      <c r="F30" s="16">
        <v>4.3</v>
      </c>
      <c r="G30" s="16">
        <v>4.9000000000000004</v>
      </c>
      <c r="H30" s="16">
        <v>3.3</v>
      </c>
      <c r="I30" s="17">
        <v>3</v>
      </c>
      <c r="J30" s="18">
        <v>6.4</v>
      </c>
      <c r="K30" s="16">
        <v>4.7</v>
      </c>
      <c r="L30" s="63">
        <v>1</v>
      </c>
      <c r="M30" s="16">
        <v>5.3</v>
      </c>
      <c r="N30" s="16">
        <v>4.7</v>
      </c>
      <c r="O30" s="16">
        <v>4</v>
      </c>
      <c r="P30" s="16">
        <v>5.6</v>
      </c>
      <c r="Q30" s="17">
        <v>5.5</v>
      </c>
      <c r="R30" s="6"/>
    </row>
    <row r="31" spans="1:18">
      <c r="A31" s="5">
        <v>44483</v>
      </c>
      <c r="B31" s="18">
        <v>3.5</v>
      </c>
      <c r="C31" s="16">
        <v>4.9000000000000004</v>
      </c>
      <c r="D31" s="16">
        <v>5.4</v>
      </c>
      <c r="E31" s="16">
        <v>4.9000000000000004</v>
      </c>
      <c r="F31" s="16">
        <v>4.2</v>
      </c>
      <c r="G31" s="16">
        <v>5.4</v>
      </c>
      <c r="H31" s="16">
        <v>3.5</v>
      </c>
      <c r="I31" s="17">
        <v>3</v>
      </c>
      <c r="J31" s="18">
        <v>6.5</v>
      </c>
      <c r="K31" s="16">
        <v>5</v>
      </c>
      <c r="L31" s="63">
        <v>1</v>
      </c>
      <c r="M31" s="16">
        <v>6</v>
      </c>
      <c r="N31" s="16">
        <v>6.5</v>
      </c>
      <c r="O31" s="16">
        <v>4.7</v>
      </c>
      <c r="P31" s="16">
        <v>5.9</v>
      </c>
      <c r="Q31" s="17">
        <v>5.8</v>
      </c>
      <c r="R31" s="57"/>
    </row>
    <row r="32" spans="1:18">
      <c r="A32" s="5">
        <v>44488</v>
      </c>
      <c r="B32" s="18">
        <v>3.7</v>
      </c>
      <c r="C32" s="16">
        <v>4.9000000000000004</v>
      </c>
      <c r="D32" s="16">
        <v>4.9000000000000004</v>
      </c>
      <c r="E32" s="16">
        <v>5</v>
      </c>
      <c r="F32" s="16">
        <v>4</v>
      </c>
      <c r="G32" s="16">
        <v>5.4</v>
      </c>
      <c r="H32" s="16">
        <v>3.6</v>
      </c>
      <c r="I32" s="17">
        <v>3.3</v>
      </c>
      <c r="J32" s="18">
        <v>5.8</v>
      </c>
      <c r="K32" s="16">
        <v>4.0999999999999996</v>
      </c>
      <c r="L32" s="63">
        <v>1</v>
      </c>
      <c r="M32" s="16">
        <v>4.8</v>
      </c>
      <c r="N32" s="16">
        <v>4.5</v>
      </c>
      <c r="O32" s="16">
        <v>4.3</v>
      </c>
      <c r="P32" s="16">
        <v>5</v>
      </c>
      <c r="Q32" s="17">
        <v>5</v>
      </c>
      <c r="R32" s="57"/>
    </row>
    <row r="33" spans="1:31">
      <c r="A33" s="51">
        <v>44491</v>
      </c>
      <c r="B33" s="18">
        <v>4.0999999999999996</v>
      </c>
      <c r="C33" s="16">
        <v>5.0999999999999996</v>
      </c>
      <c r="D33" s="16">
        <v>5.2</v>
      </c>
      <c r="E33" s="16">
        <v>5.4</v>
      </c>
      <c r="F33" s="16">
        <v>4.7</v>
      </c>
      <c r="G33" s="16">
        <v>6.7</v>
      </c>
      <c r="H33" s="16">
        <v>3.8</v>
      </c>
      <c r="I33" s="17">
        <v>3.1</v>
      </c>
      <c r="J33" s="52">
        <v>6</v>
      </c>
      <c r="K33" s="53">
        <v>4.2</v>
      </c>
      <c r="L33" s="63">
        <v>1</v>
      </c>
      <c r="M33" s="53">
        <v>4.7</v>
      </c>
      <c r="N33" s="53">
        <v>4.5</v>
      </c>
      <c r="O33" s="53">
        <v>4.5999999999999996</v>
      </c>
      <c r="P33" s="53">
        <v>4.8</v>
      </c>
      <c r="Q33" s="54">
        <v>4.9000000000000004</v>
      </c>
      <c r="R33" s="57"/>
    </row>
    <row r="34" spans="1:31">
      <c r="A34" s="5">
        <v>44495</v>
      </c>
      <c r="B34" s="18">
        <v>3.9</v>
      </c>
      <c r="C34" s="16">
        <v>4.9000000000000004</v>
      </c>
      <c r="D34" s="16">
        <v>5.3</v>
      </c>
      <c r="E34" s="16">
        <v>5.8</v>
      </c>
      <c r="F34" s="16">
        <v>4.4000000000000004</v>
      </c>
      <c r="G34" s="16">
        <v>6.3</v>
      </c>
      <c r="H34" s="16">
        <v>3.7</v>
      </c>
      <c r="I34" s="17">
        <v>3.2</v>
      </c>
      <c r="J34" s="18">
        <v>6.3</v>
      </c>
      <c r="K34" s="16">
        <v>4.8</v>
      </c>
      <c r="L34" s="63">
        <v>1</v>
      </c>
      <c r="M34" s="16">
        <v>5.4</v>
      </c>
      <c r="N34" s="16">
        <v>4.5999999999999996</v>
      </c>
      <c r="O34" s="16">
        <v>4.4000000000000004</v>
      </c>
      <c r="P34" s="16">
        <v>5.4</v>
      </c>
      <c r="Q34" s="17">
        <v>5.5</v>
      </c>
      <c r="R34" s="57"/>
    </row>
    <row r="35" spans="1:31">
      <c r="A35" s="5">
        <v>44500</v>
      </c>
      <c r="B35" s="18">
        <v>3.6</v>
      </c>
      <c r="C35" s="16">
        <v>5.3</v>
      </c>
      <c r="D35" s="16">
        <v>5.46</v>
      </c>
      <c r="E35" s="16">
        <v>5.74</v>
      </c>
      <c r="F35" s="16">
        <v>4.76</v>
      </c>
      <c r="G35" s="16">
        <v>6.3</v>
      </c>
      <c r="H35" s="16">
        <v>3.8</v>
      </c>
      <c r="I35" s="17">
        <v>3.15</v>
      </c>
      <c r="J35" s="18">
        <v>6.4</v>
      </c>
      <c r="K35" s="16">
        <v>4.9000000000000004</v>
      </c>
      <c r="L35" s="63">
        <v>1</v>
      </c>
      <c r="M35" s="16">
        <v>5.35</v>
      </c>
      <c r="N35" s="16">
        <v>4.5</v>
      </c>
      <c r="O35" s="16">
        <v>4.5</v>
      </c>
      <c r="P35" s="16">
        <v>5.4</v>
      </c>
      <c r="Q35" s="17">
        <v>5.86</v>
      </c>
      <c r="R35" s="64"/>
    </row>
    <row r="36" spans="1:31">
      <c r="A36" s="5">
        <v>44505</v>
      </c>
      <c r="B36" s="18">
        <v>3.7</v>
      </c>
      <c r="C36" s="16">
        <v>5.5</v>
      </c>
      <c r="D36" s="16">
        <v>5.5</v>
      </c>
      <c r="E36" s="16">
        <v>6.1</v>
      </c>
      <c r="F36" s="16">
        <v>4.9000000000000004</v>
      </c>
      <c r="G36" s="16">
        <v>7.5</v>
      </c>
      <c r="H36" s="16">
        <v>3.7</v>
      </c>
      <c r="I36" s="17">
        <v>3.6</v>
      </c>
      <c r="J36" s="18">
        <v>6.3</v>
      </c>
      <c r="K36" s="16">
        <v>4.7</v>
      </c>
      <c r="L36" s="63">
        <v>1</v>
      </c>
      <c r="M36" s="16">
        <v>5.0999999999999996</v>
      </c>
      <c r="N36" s="16">
        <v>4.8</v>
      </c>
      <c r="O36" s="16">
        <v>4.7</v>
      </c>
      <c r="P36" s="16">
        <v>5.3</v>
      </c>
      <c r="Q36" s="17">
        <v>5.6</v>
      </c>
      <c r="R36" s="64"/>
    </row>
    <row r="37" spans="1:31">
      <c r="A37" s="5">
        <v>44508</v>
      </c>
      <c r="B37" s="18">
        <v>3.8</v>
      </c>
      <c r="C37" s="16">
        <v>5.2</v>
      </c>
      <c r="D37" s="16">
        <v>5.4</v>
      </c>
      <c r="E37" s="16">
        <v>6</v>
      </c>
      <c r="F37" s="16">
        <v>4.9000000000000004</v>
      </c>
      <c r="G37" s="16">
        <v>7.1</v>
      </c>
      <c r="H37" s="16">
        <v>3.7</v>
      </c>
      <c r="I37" s="17">
        <v>3.3</v>
      </c>
      <c r="J37" s="18">
        <v>7.1</v>
      </c>
      <c r="K37" s="16">
        <v>5.5</v>
      </c>
      <c r="L37" s="63">
        <v>1</v>
      </c>
      <c r="M37" s="16">
        <v>5.8</v>
      </c>
      <c r="N37" s="16">
        <v>5.0999999999999996</v>
      </c>
      <c r="O37" s="16">
        <v>5.9</v>
      </c>
      <c r="P37" s="16">
        <v>6</v>
      </c>
      <c r="Q37" s="17">
        <v>6.5</v>
      </c>
      <c r="R37" s="66"/>
    </row>
    <row r="38" spans="1:31">
      <c r="A38" s="5">
        <v>44512</v>
      </c>
      <c r="B38" s="18">
        <v>4</v>
      </c>
      <c r="C38" s="16">
        <v>5.3</v>
      </c>
      <c r="D38" s="16">
        <v>5.6</v>
      </c>
      <c r="E38" s="71">
        <v>6.3</v>
      </c>
      <c r="F38" s="16">
        <v>5.0999999999999996</v>
      </c>
      <c r="G38" s="16">
        <v>7.4</v>
      </c>
      <c r="H38" s="16">
        <v>3.7</v>
      </c>
      <c r="I38" s="16">
        <v>3.7</v>
      </c>
      <c r="J38" s="18">
        <v>7.26</v>
      </c>
      <c r="K38" s="16">
        <v>5.75</v>
      </c>
      <c r="L38" s="63">
        <v>1</v>
      </c>
      <c r="M38" s="16">
        <v>6.1</v>
      </c>
      <c r="N38" s="16">
        <v>5.7</v>
      </c>
      <c r="O38" s="16">
        <v>5.3</v>
      </c>
      <c r="P38" s="16">
        <v>6.6</v>
      </c>
      <c r="Q38" s="17">
        <v>7.1</v>
      </c>
      <c r="R38" s="66"/>
    </row>
    <row r="39" spans="1:31">
      <c r="A39" s="5">
        <v>44515</v>
      </c>
      <c r="B39" s="18">
        <v>4</v>
      </c>
      <c r="C39" s="16">
        <v>5.6</v>
      </c>
      <c r="D39" s="16">
        <v>5.5</v>
      </c>
      <c r="E39" s="16">
        <v>6.6</v>
      </c>
      <c r="F39" s="16">
        <v>5.0999999999999996</v>
      </c>
      <c r="G39" s="16">
        <v>7.8</v>
      </c>
      <c r="H39" s="16">
        <v>3.9</v>
      </c>
      <c r="I39" s="17">
        <v>4.5</v>
      </c>
      <c r="J39" s="18">
        <v>6.9</v>
      </c>
      <c r="K39" s="16">
        <v>5.3</v>
      </c>
      <c r="L39" s="63">
        <v>1</v>
      </c>
      <c r="M39" s="16">
        <v>5.7</v>
      </c>
      <c r="N39" s="16">
        <v>5.3</v>
      </c>
      <c r="O39" s="16">
        <v>4.2</v>
      </c>
      <c r="P39" s="16">
        <v>6.3</v>
      </c>
      <c r="Q39" s="17">
        <v>6.6</v>
      </c>
      <c r="R39" s="66"/>
    </row>
    <row r="40" spans="1:31">
      <c r="A40" s="5"/>
      <c r="B40" s="18"/>
      <c r="C40" s="16"/>
      <c r="D40" s="16"/>
      <c r="E40" s="16"/>
      <c r="F40" s="16"/>
      <c r="G40" s="16"/>
      <c r="H40" s="16"/>
      <c r="I40" s="17"/>
      <c r="J40" s="18"/>
      <c r="K40" s="16"/>
      <c r="L40" s="63"/>
      <c r="M40" s="16"/>
      <c r="N40" s="16"/>
      <c r="O40" s="16"/>
      <c r="P40" s="16"/>
      <c r="Q40" s="17"/>
      <c r="R40" s="70"/>
    </row>
    <row r="41" spans="1:31">
      <c r="A41" s="5"/>
      <c r="B41" s="18"/>
      <c r="C41" s="16"/>
      <c r="D41" s="16"/>
      <c r="E41" s="16"/>
      <c r="F41" s="16"/>
      <c r="G41" s="16"/>
      <c r="H41" s="16"/>
      <c r="I41" s="17"/>
      <c r="J41" s="18"/>
      <c r="K41" s="16"/>
      <c r="L41" s="63"/>
      <c r="M41" s="16"/>
      <c r="N41" s="16"/>
      <c r="O41" s="16"/>
      <c r="P41" s="16"/>
      <c r="Q41" s="17"/>
      <c r="R41" s="70"/>
    </row>
    <row r="42" spans="1:31">
      <c r="A42" s="5"/>
      <c r="B42" s="18"/>
      <c r="C42" s="16"/>
      <c r="D42" s="16"/>
      <c r="E42" s="16"/>
      <c r="F42" s="16"/>
      <c r="G42" s="16"/>
      <c r="H42" s="16"/>
      <c r="I42" s="17"/>
      <c r="J42" s="18"/>
      <c r="K42" s="16"/>
      <c r="L42" s="63"/>
      <c r="M42" s="16"/>
      <c r="N42" s="16"/>
      <c r="O42" s="16"/>
      <c r="P42" s="16"/>
      <c r="Q42" s="17"/>
      <c r="R42" s="70"/>
    </row>
    <row r="43" spans="1:31" ht="19" thickBot="1">
      <c r="A43" s="5"/>
      <c r="B43" s="19"/>
      <c r="C43" s="20"/>
      <c r="D43" s="20"/>
      <c r="E43" s="20"/>
      <c r="F43" s="20"/>
      <c r="G43" s="20"/>
      <c r="H43" s="20"/>
      <c r="I43" s="21"/>
      <c r="J43" s="19"/>
      <c r="K43" s="20"/>
      <c r="L43" s="20"/>
      <c r="M43" s="20"/>
      <c r="N43" s="20"/>
      <c r="O43" s="20"/>
      <c r="P43" s="20"/>
      <c r="Q43" s="21"/>
      <c r="R43" s="6"/>
    </row>
    <row r="44" spans="1:3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X44" s="22"/>
      <c r="Y44" s="22"/>
      <c r="Z44" s="22"/>
      <c r="AA44" s="22"/>
      <c r="AB44" s="22"/>
      <c r="AC44" s="22"/>
      <c r="AD44" s="22"/>
      <c r="AE44" s="22"/>
    </row>
    <row r="45" spans="1:31">
      <c r="A45" s="6"/>
      <c r="B45" s="36"/>
      <c r="C45" s="6" t="s">
        <v>6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X45" s="22"/>
      <c r="Y45" s="22"/>
      <c r="Z45" s="22"/>
      <c r="AA45" s="22"/>
      <c r="AB45" s="22"/>
      <c r="AC45" s="22"/>
      <c r="AD45" s="22"/>
      <c r="AE45" s="22"/>
    </row>
    <row r="46" spans="1:3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3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3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>
      <c r="A49" s="6"/>
      <c r="B49" s="35"/>
      <c r="C49" s="84" t="s">
        <v>21</v>
      </c>
      <c r="D49" s="84"/>
      <c r="E49" s="84"/>
      <c r="F49" s="84"/>
      <c r="G49" s="84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19" thickBo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9" thickBot="1">
      <c r="A51" s="83" t="s">
        <v>7</v>
      </c>
      <c r="B51" s="72" t="s">
        <v>10</v>
      </c>
      <c r="C51" s="73"/>
      <c r="D51" s="73"/>
      <c r="E51" s="73"/>
      <c r="F51" s="73"/>
      <c r="G51" s="73"/>
      <c r="H51" s="73"/>
      <c r="I51" s="74"/>
      <c r="J51" s="72">
        <v>239</v>
      </c>
      <c r="K51" s="73"/>
      <c r="L51" s="73"/>
      <c r="M51" s="73"/>
      <c r="N51" s="73"/>
      <c r="O51" s="73"/>
      <c r="P51" s="73"/>
      <c r="Q51" s="74"/>
      <c r="R51" s="6"/>
    </row>
    <row r="52" spans="1:18" ht="19" thickBot="1">
      <c r="A52" s="83"/>
      <c r="B52" s="72" t="s">
        <v>17</v>
      </c>
      <c r="C52" s="73"/>
      <c r="D52" s="73"/>
      <c r="E52" s="73"/>
      <c r="F52" s="73"/>
      <c r="G52" s="73"/>
      <c r="H52" s="73"/>
      <c r="I52" s="74"/>
      <c r="J52" s="72" t="s">
        <v>18</v>
      </c>
      <c r="K52" s="73"/>
      <c r="L52" s="73"/>
      <c r="M52" s="73"/>
      <c r="N52" s="73"/>
      <c r="O52" s="73"/>
      <c r="P52" s="73"/>
      <c r="Q52" s="74"/>
      <c r="R52" s="6"/>
    </row>
    <row r="53" spans="1:18" ht="19">
      <c r="A53" s="8"/>
      <c r="B53" s="75">
        <v>14</v>
      </c>
      <c r="C53" s="76"/>
      <c r="D53" s="77">
        <v>15</v>
      </c>
      <c r="E53" s="77"/>
      <c r="F53" s="77">
        <v>16</v>
      </c>
      <c r="G53" s="77"/>
      <c r="H53" s="77">
        <v>17</v>
      </c>
      <c r="I53" s="78"/>
      <c r="J53" s="79">
        <v>839</v>
      </c>
      <c r="K53" s="80"/>
      <c r="L53" s="81">
        <v>840</v>
      </c>
      <c r="M53" s="80"/>
      <c r="N53" s="81">
        <v>1</v>
      </c>
      <c r="O53" s="80"/>
      <c r="P53" s="81">
        <v>2</v>
      </c>
      <c r="Q53" s="82"/>
      <c r="R53" s="6"/>
    </row>
    <row r="54" spans="1:18" ht="20" thickBot="1">
      <c r="A54" s="8"/>
      <c r="B54" s="26" t="s">
        <v>1</v>
      </c>
      <c r="C54" s="9" t="s">
        <v>2</v>
      </c>
      <c r="D54" s="9" t="s">
        <v>1</v>
      </c>
      <c r="E54" s="9" t="s">
        <v>2</v>
      </c>
      <c r="F54" s="9" t="s">
        <v>1</v>
      </c>
      <c r="G54" s="9" t="s">
        <v>2</v>
      </c>
      <c r="H54" s="9" t="s">
        <v>1</v>
      </c>
      <c r="I54" s="10" t="s">
        <v>2</v>
      </c>
      <c r="J54" s="11" t="s">
        <v>1</v>
      </c>
      <c r="K54" s="12" t="s">
        <v>2</v>
      </c>
      <c r="L54" s="12" t="s">
        <v>1</v>
      </c>
      <c r="M54" s="12" t="s">
        <v>2</v>
      </c>
      <c r="N54" s="12" t="s">
        <v>1</v>
      </c>
      <c r="O54" s="12" t="s">
        <v>2</v>
      </c>
      <c r="P54" s="12" t="s">
        <v>1</v>
      </c>
      <c r="Q54" s="13" t="s">
        <v>2</v>
      </c>
      <c r="R54" s="6"/>
    </row>
    <row r="55" spans="1:18" s="43" customFormat="1">
      <c r="B55" s="47">
        <f t="shared" ref="B55:Q55" si="0">B18-0.7</f>
        <v>1.7</v>
      </c>
      <c r="C55" s="48">
        <f t="shared" si="0"/>
        <v>2.5999999999999996</v>
      </c>
      <c r="D55" s="48">
        <f t="shared" si="0"/>
        <v>3</v>
      </c>
      <c r="E55" s="48">
        <f t="shared" si="0"/>
        <v>2.2999999999999998</v>
      </c>
      <c r="F55" s="48">
        <f t="shared" si="0"/>
        <v>2.2999999999999998</v>
      </c>
      <c r="G55" s="48">
        <f t="shared" si="0"/>
        <v>2.2999999999999998</v>
      </c>
      <c r="H55" s="48">
        <f t="shared" si="0"/>
        <v>2</v>
      </c>
      <c r="I55" s="49">
        <f t="shared" si="0"/>
        <v>2.5</v>
      </c>
      <c r="J55" s="48">
        <f t="shared" si="0"/>
        <v>3.3</v>
      </c>
      <c r="K55" s="48">
        <f t="shared" si="0"/>
        <v>2.2999999999999998</v>
      </c>
      <c r="L55" s="48">
        <f t="shared" si="0"/>
        <v>-0.7</v>
      </c>
      <c r="M55" s="48">
        <f t="shared" si="0"/>
        <v>2.46</v>
      </c>
      <c r="N55" s="48">
        <f t="shared" si="0"/>
        <v>2.8</v>
      </c>
      <c r="O55" s="48">
        <f t="shared" si="0"/>
        <v>2.8</v>
      </c>
      <c r="P55" s="48">
        <f t="shared" si="0"/>
        <v>3.0999999999999996</v>
      </c>
      <c r="Q55" s="49">
        <f t="shared" si="0"/>
        <v>3</v>
      </c>
      <c r="R55" s="37"/>
    </row>
    <row r="56" spans="1:18" s="15" customFormat="1">
      <c r="A56" s="46">
        <f t="shared" ref="A56" si="1">(A19-$A$19)</f>
        <v>0</v>
      </c>
      <c r="B56" s="24">
        <f t="shared" ref="B56:K56" si="2">B19-0.7</f>
        <v>2.7</v>
      </c>
      <c r="C56" s="23">
        <f t="shared" si="2"/>
        <v>4</v>
      </c>
      <c r="D56" s="23">
        <f t="shared" si="2"/>
        <v>4.2</v>
      </c>
      <c r="E56" s="23">
        <f t="shared" si="2"/>
        <v>4.0999999999999996</v>
      </c>
      <c r="F56" s="23">
        <f t="shared" si="2"/>
        <v>3.5999999999999996</v>
      </c>
      <c r="G56" s="23">
        <f t="shared" si="2"/>
        <v>3.3999999999999995</v>
      </c>
      <c r="H56" s="23">
        <f t="shared" si="2"/>
        <v>3</v>
      </c>
      <c r="I56" s="25">
        <f t="shared" si="2"/>
        <v>2.8</v>
      </c>
      <c r="J56" s="24">
        <f t="shared" si="2"/>
        <v>4.5</v>
      </c>
      <c r="K56" s="23">
        <f t="shared" si="2"/>
        <v>3.0999999999999996</v>
      </c>
      <c r="L56" s="23">
        <f t="shared" ref="L56:P56" si="3">L19-0.7</f>
        <v>0.30000000000000004</v>
      </c>
      <c r="M56" s="23">
        <f t="shared" si="3"/>
        <v>3.5999999999999996</v>
      </c>
      <c r="N56" s="23">
        <f t="shared" si="3"/>
        <v>4</v>
      </c>
      <c r="O56" s="23">
        <f t="shared" si="3"/>
        <v>3.3</v>
      </c>
      <c r="P56" s="23">
        <f t="shared" si="3"/>
        <v>4</v>
      </c>
      <c r="Q56" s="25">
        <f t="shared" ref="Q56:Q67" si="4">Q19-0.7</f>
        <v>3.5</v>
      </c>
      <c r="R56" s="14"/>
    </row>
    <row r="57" spans="1:18" s="15" customFormat="1">
      <c r="A57" s="46">
        <f t="shared" ref="A57:A76" si="5">(A20-$A$19-1)</f>
        <v>3</v>
      </c>
      <c r="B57" s="24">
        <f t="shared" ref="B57:K57" si="6">B20-0.7</f>
        <v>2.0999999999999996</v>
      </c>
      <c r="C57" s="23">
        <f t="shared" si="6"/>
        <v>3.0999999999999996</v>
      </c>
      <c r="D57" s="23">
        <f t="shared" si="6"/>
        <v>3.3</v>
      </c>
      <c r="E57" s="23">
        <f t="shared" si="6"/>
        <v>3</v>
      </c>
      <c r="F57" s="23">
        <f t="shared" si="6"/>
        <v>1.7</v>
      </c>
      <c r="G57" s="23">
        <f t="shared" si="6"/>
        <v>2.5999999999999996</v>
      </c>
      <c r="H57" s="23">
        <f t="shared" si="6"/>
        <v>2.2999999999999998</v>
      </c>
      <c r="I57" s="25">
        <f t="shared" si="6"/>
        <v>2.4000000000000004</v>
      </c>
      <c r="J57" s="24">
        <f t="shared" si="6"/>
        <v>3.5</v>
      </c>
      <c r="K57" s="23">
        <f t="shared" si="6"/>
        <v>2.7</v>
      </c>
      <c r="L57" s="23">
        <f t="shared" ref="L57:P67" si="7">L20-0.7</f>
        <v>0.30000000000000004</v>
      </c>
      <c r="M57" s="23">
        <f t="shared" si="7"/>
        <v>2.5999999999999996</v>
      </c>
      <c r="N57" s="23">
        <f t="shared" si="7"/>
        <v>2.5999999999999996</v>
      </c>
      <c r="O57" s="23">
        <f t="shared" si="7"/>
        <v>2.5</v>
      </c>
      <c r="P57" s="23">
        <f t="shared" si="7"/>
        <v>2.9000000000000004</v>
      </c>
      <c r="Q57" s="25">
        <f t="shared" si="4"/>
        <v>2.5999999999999996</v>
      </c>
      <c r="R57" s="14"/>
    </row>
    <row r="58" spans="1:18" s="15" customFormat="1">
      <c r="A58" s="46">
        <f t="shared" si="5"/>
        <v>6</v>
      </c>
      <c r="B58" s="24">
        <f t="shared" ref="B58:K58" si="8">B21-0.7</f>
        <v>1.9000000000000001</v>
      </c>
      <c r="C58" s="23">
        <f t="shared" si="8"/>
        <v>3</v>
      </c>
      <c r="D58" s="23">
        <f t="shared" si="8"/>
        <v>2.9000000000000004</v>
      </c>
      <c r="E58" s="23">
        <f t="shared" si="8"/>
        <v>3</v>
      </c>
      <c r="F58" s="23">
        <f t="shared" si="8"/>
        <v>2.5</v>
      </c>
      <c r="G58" s="23">
        <f t="shared" si="8"/>
        <v>2.4000000000000004</v>
      </c>
      <c r="H58" s="23">
        <f t="shared" si="8"/>
        <v>2.0999999999999996</v>
      </c>
      <c r="I58" s="25">
        <f t="shared" si="8"/>
        <v>2.2000000000000002</v>
      </c>
      <c r="J58" s="24">
        <f t="shared" si="8"/>
        <v>3.2</v>
      </c>
      <c r="K58" s="23">
        <f t="shared" si="8"/>
        <v>2.4000000000000004</v>
      </c>
      <c r="L58" s="23">
        <f t="shared" si="7"/>
        <v>0.30000000000000004</v>
      </c>
      <c r="M58" s="23">
        <f t="shared" si="7"/>
        <v>2.4000000000000004</v>
      </c>
      <c r="N58" s="23">
        <f t="shared" si="7"/>
        <v>2.5999999999999996</v>
      </c>
      <c r="O58" s="23">
        <f t="shared" si="7"/>
        <v>2.0999999999999996</v>
      </c>
      <c r="P58" s="23">
        <f t="shared" si="7"/>
        <v>2.4000000000000004</v>
      </c>
      <c r="Q58" s="25">
        <f t="shared" si="4"/>
        <v>2.2999999999999998</v>
      </c>
      <c r="R58" s="14"/>
    </row>
    <row r="59" spans="1:18" s="15" customFormat="1">
      <c r="A59" s="46">
        <f t="shared" si="5"/>
        <v>10</v>
      </c>
      <c r="B59" s="24">
        <f t="shared" ref="B59:K59" si="9">B22-0.7</f>
        <v>2.2999999999999998</v>
      </c>
      <c r="C59" s="23">
        <f t="shared" si="9"/>
        <v>3.0999999999999996</v>
      </c>
      <c r="D59" s="23">
        <f t="shared" si="9"/>
        <v>2.9000000000000004</v>
      </c>
      <c r="E59" s="23">
        <f t="shared" si="9"/>
        <v>2.75</v>
      </c>
      <c r="F59" s="23">
        <f t="shared" si="9"/>
        <v>2.2999999999999998</v>
      </c>
      <c r="G59" s="23">
        <f t="shared" si="9"/>
        <v>2.4500000000000002</v>
      </c>
      <c r="H59" s="23">
        <f t="shared" si="9"/>
        <v>1.95</v>
      </c>
      <c r="I59" s="25">
        <f t="shared" si="9"/>
        <v>2.5999999999999996</v>
      </c>
      <c r="J59" s="24">
        <f t="shared" si="9"/>
        <v>3.8999999999999995</v>
      </c>
      <c r="K59" s="23">
        <f t="shared" si="9"/>
        <v>2.5999999999999996</v>
      </c>
      <c r="L59" s="23">
        <f t="shared" si="7"/>
        <v>0.30000000000000004</v>
      </c>
      <c r="M59" s="23">
        <f t="shared" si="7"/>
        <v>3.0999999999999996</v>
      </c>
      <c r="N59" s="23">
        <f t="shared" si="7"/>
        <v>2.5999999999999996</v>
      </c>
      <c r="O59" s="23">
        <f t="shared" si="7"/>
        <v>3</v>
      </c>
      <c r="P59" s="23">
        <f t="shared" si="7"/>
        <v>2.7</v>
      </c>
      <c r="Q59" s="25">
        <f t="shared" si="4"/>
        <v>3</v>
      </c>
      <c r="R59" s="14"/>
    </row>
    <row r="60" spans="1:18" s="15" customFormat="1">
      <c r="A60" s="46">
        <f t="shared" si="5"/>
        <v>14</v>
      </c>
      <c r="B60" s="24">
        <f t="shared" ref="B60:K60" si="10">B23-0.7</f>
        <v>2</v>
      </c>
      <c r="C60" s="23">
        <f t="shared" si="10"/>
        <v>3.2</v>
      </c>
      <c r="D60" s="23">
        <f t="shared" si="10"/>
        <v>3.3</v>
      </c>
      <c r="E60" s="23">
        <f t="shared" si="10"/>
        <v>2.8</v>
      </c>
      <c r="F60" s="23">
        <f t="shared" si="10"/>
        <v>1.7</v>
      </c>
      <c r="G60" s="23">
        <f t="shared" si="10"/>
        <v>2.5999999999999996</v>
      </c>
      <c r="H60" s="23">
        <f t="shared" si="10"/>
        <v>1.7</v>
      </c>
      <c r="I60" s="25">
        <f t="shared" si="10"/>
        <v>1.2</v>
      </c>
      <c r="J60" s="24">
        <f t="shared" si="10"/>
        <v>4.5999999999999996</v>
      </c>
      <c r="K60" s="23">
        <f t="shared" si="10"/>
        <v>2.7</v>
      </c>
      <c r="L60" s="23">
        <f t="shared" si="7"/>
        <v>0.10000000000000009</v>
      </c>
      <c r="M60" s="23">
        <f t="shared" si="7"/>
        <v>3.5</v>
      </c>
      <c r="N60" s="23">
        <f t="shared" si="7"/>
        <v>3.3999999999999995</v>
      </c>
      <c r="O60" s="23">
        <f t="shared" si="7"/>
        <v>2.2000000000000002</v>
      </c>
      <c r="P60" s="23">
        <f t="shared" si="7"/>
        <v>3</v>
      </c>
      <c r="Q60" s="25">
        <f t="shared" si="4"/>
        <v>3.2</v>
      </c>
      <c r="R60" s="14"/>
    </row>
    <row r="61" spans="1:18" s="15" customFormat="1">
      <c r="A61" s="46">
        <f t="shared" si="5"/>
        <v>16</v>
      </c>
      <c r="B61" s="24">
        <f t="shared" ref="B61:K61" si="11">B24-0.7</f>
        <v>1.9000000000000001</v>
      </c>
      <c r="C61" s="23">
        <f t="shared" si="11"/>
        <v>2.9000000000000004</v>
      </c>
      <c r="D61" s="23">
        <f t="shared" si="11"/>
        <v>3.2</v>
      </c>
      <c r="E61" s="23">
        <f t="shared" si="11"/>
        <v>2.9000000000000004</v>
      </c>
      <c r="F61" s="23">
        <f t="shared" si="11"/>
        <v>2.8</v>
      </c>
      <c r="G61" s="23">
        <f t="shared" si="11"/>
        <v>3.3</v>
      </c>
      <c r="H61" s="23">
        <f t="shared" si="11"/>
        <v>2.0999999999999996</v>
      </c>
      <c r="I61" s="25">
        <f t="shared" si="11"/>
        <v>2.2000000000000002</v>
      </c>
      <c r="J61" s="24">
        <f t="shared" si="11"/>
        <v>3.8999999999999995</v>
      </c>
      <c r="K61" s="23">
        <f t="shared" si="11"/>
        <v>2.5</v>
      </c>
      <c r="L61" s="23">
        <f t="shared" si="7"/>
        <v>0.30000000000000004</v>
      </c>
      <c r="M61" s="23">
        <f t="shared" si="7"/>
        <v>3.5</v>
      </c>
      <c r="N61" s="23">
        <f t="shared" si="7"/>
        <v>2.7</v>
      </c>
      <c r="O61" s="23">
        <f t="shared" si="7"/>
        <v>3.0999999999999996</v>
      </c>
      <c r="P61" s="23">
        <f t="shared" si="7"/>
        <v>3.2</v>
      </c>
      <c r="Q61" s="25">
        <f t="shared" si="4"/>
        <v>3.3</v>
      </c>
      <c r="R61" s="14"/>
    </row>
    <row r="62" spans="1:18" s="15" customFormat="1">
      <c r="A62" s="46">
        <f t="shared" si="5"/>
        <v>19</v>
      </c>
      <c r="B62" s="24">
        <f t="shared" ref="B62:K62" si="12">B25-0.7</f>
        <v>2.4000000000000004</v>
      </c>
      <c r="C62" s="23">
        <f t="shared" si="12"/>
        <v>3.3</v>
      </c>
      <c r="D62" s="23">
        <f t="shared" si="12"/>
        <v>3.3</v>
      </c>
      <c r="E62" s="23">
        <f t="shared" si="12"/>
        <v>3</v>
      </c>
      <c r="F62" s="23">
        <f t="shared" si="12"/>
        <v>2.7</v>
      </c>
      <c r="G62" s="23">
        <f t="shared" si="12"/>
        <v>3.8</v>
      </c>
      <c r="H62" s="23">
        <f t="shared" si="12"/>
        <v>2.2000000000000002</v>
      </c>
      <c r="I62" s="25">
        <f t="shared" si="12"/>
        <v>2.2000000000000002</v>
      </c>
      <c r="J62" s="24">
        <f t="shared" si="12"/>
        <v>4.2</v>
      </c>
      <c r="K62" s="23">
        <f t="shared" si="12"/>
        <v>2.8</v>
      </c>
      <c r="L62" s="23">
        <f t="shared" si="7"/>
        <v>0.30000000000000004</v>
      </c>
      <c r="M62" s="23">
        <f t="shared" si="7"/>
        <v>3.2</v>
      </c>
      <c r="N62" s="23">
        <f t="shared" si="7"/>
        <v>2.9000000000000004</v>
      </c>
      <c r="O62" s="23">
        <f t="shared" si="7"/>
        <v>3</v>
      </c>
      <c r="P62" s="23">
        <f t="shared" si="7"/>
        <v>3.0999999999999996</v>
      </c>
      <c r="Q62" s="25">
        <f t="shared" si="4"/>
        <v>2.9000000000000004</v>
      </c>
      <c r="R62" s="14"/>
    </row>
    <row r="63" spans="1:18" s="15" customFormat="1">
      <c r="A63" s="46">
        <f t="shared" si="5"/>
        <v>24</v>
      </c>
      <c r="B63" s="24">
        <f t="shared" ref="B63:K63" si="13">B26-0.7</f>
        <v>2.2999999999999998</v>
      </c>
      <c r="C63" s="23">
        <f t="shared" si="13"/>
        <v>3.3</v>
      </c>
      <c r="D63" s="23">
        <f t="shared" si="13"/>
        <v>3.3999999999999995</v>
      </c>
      <c r="E63" s="23">
        <f t="shared" si="13"/>
        <v>3.3999999999999995</v>
      </c>
      <c r="F63" s="23">
        <f t="shared" si="13"/>
        <v>2.8</v>
      </c>
      <c r="G63" s="23">
        <f t="shared" si="13"/>
        <v>3.3999999999999995</v>
      </c>
      <c r="H63" s="23">
        <f t="shared" si="13"/>
        <v>2.2999999999999998</v>
      </c>
      <c r="I63" s="25">
        <f t="shared" si="13"/>
        <v>2.2000000000000002</v>
      </c>
      <c r="J63" s="24">
        <f t="shared" si="13"/>
        <v>4.5</v>
      </c>
      <c r="K63" s="23">
        <f t="shared" si="13"/>
        <v>2.8</v>
      </c>
      <c r="L63" s="23">
        <f t="shared" si="7"/>
        <v>0.30000000000000004</v>
      </c>
      <c r="M63" s="23">
        <f t="shared" si="7"/>
        <v>3.8999999999999995</v>
      </c>
      <c r="N63" s="23">
        <f t="shared" si="7"/>
        <v>3.25</v>
      </c>
      <c r="O63" s="23">
        <f t="shared" si="7"/>
        <v>3.3999999999999995</v>
      </c>
      <c r="P63" s="23">
        <f t="shared" si="7"/>
        <v>3.8</v>
      </c>
      <c r="Q63" s="25">
        <f t="shared" si="4"/>
        <v>3.7</v>
      </c>
      <c r="R63" s="14"/>
    </row>
    <row r="64" spans="1:18">
      <c r="A64" s="46">
        <f t="shared" si="5"/>
        <v>29</v>
      </c>
      <c r="B64" s="24">
        <f t="shared" ref="B64:K64" si="14">B27-0.7</f>
        <v>2.4000000000000004</v>
      </c>
      <c r="C64" s="23">
        <f t="shared" si="14"/>
        <v>3.5</v>
      </c>
      <c r="D64" s="23">
        <f t="shared" si="14"/>
        <v>3.8999999999999995</v>
      </c>
      <c r="E64" s="23">
        <f t="shared" si="14"/>
        <v>3.5</v>
      </c>
      <c r="F64" s="23">
        <f t="shared" si="14"/>
        <v>3.3</v>
      </c>
      <c r="G64" s="23">
        <f t="shared" si="14"/>
        <v>4.5999999999999996</v>
      </c>
      <c r="H64" s="23">
        <f t="shared" si="14"/>
        <v>2.5999999999999996</v>
      </c>
      <c r="I64" s="25">
        <f t="shared" si="14"/>
        <v>2.0999999999999996</v>
      </c>
      <c r="J64" s="24">
        <f t="shared" si="14"/>
        <v>5</v>
      </c>
      <c r="K64" s="23">
        <f t="shared" si="14"/>
        <v>3.5</v>
      </c>
      <c r="L64" s="23">
        <f t="shared" si="7"/>
        <v>0.30000000000000004</v>
      </c>
      <c r="M64" s="23">
        <f t="shared" si="7"/>
        <v>3.8999999999999995</v>
      </c>
      <c r="N64" s="23">
        <f t="shared" si="7"/>
        <v>3.7</v>
      </c>
      <c r="O64" s="23">
        <f t="shared" si="7"/>
        <v>3.5</v>
      </c>
      <c r="P64" s="23">
        <f t="shared" si="7"/>
        <v>4</v>
      </c>
      <c r="Q64" s="25">
        <f t="shared" si="4"/>
        <v>3.7</v>
      </c>
      <c r="R64" s="6"/>
    </row>
    <row r="65" spans="1:18">
      <c r="A65" s="46">
        <f t="shared" si="5"/>
        <v>31</v>
      </c>
      <c r="B65" s="24">
        <f t="shared" ref="B65:K65" si="15">B28-0.7</f>
        <v>2.5999999999999996</v>
      </c>
      <c r="C65" s="23">
        <f t="shared" si="15"/>
        <v>3.5999999999999996</v>
      </c>
      <c r="D65" s="23">
        <f t="shared" si="15"/>
        <v>3.8999999999999995</v>
      </c>
      <c r="E65" s="23">
        <f t="shared" si="15"/>
        <v>3.7</v>
      </c>
      <c r="F65" s="23">
        <f t="shared" si="15"/>
        <v>3.0999999999999996</v>
      </c>
      <c r="G65" s="23">
        <f t="shared" si="15"/>
        <v>4</v>
      </c>
      <c r="H65" s="23">
        <f t="shared" si="15"/>
        <v>2.5</v>
      </c>
      <c r="I65" s="25">
        <f t="shared" si="15"/>
        <v>2.0999999999999996</v>
      </c>
      <c r="J65" s="24">
        <f t="shared" si="15"/>
        <v>5.2</v>
      </c>
      <c r="K65" s="23">
        <f t="shared" si="15"/>
        <v>3.3999999999999995</v>
      </c>
      <c r="L65" s="23">
        <f t="shared" si="7"/>
        <v>0.30000000000000004</v>
      </c>
      <c r="M65" s="23">
        <f t="shared" si="7"/>
        <v>3.8999999999999995</v>
      </c>
      <c r="N65" s="23">
        <f t="shared" si="7"/>
        <v>3.3999999999999995</v>
      </c>
      <c r="O65" s="23">
        <f t="shared" si="7"/>
        <v>3.5999999999999996</v>
      </c>
      <c r="P65" s="23">
        <f t="shared" si="7"/>
        <v>3.8999999999999995</v>
      </c>
      <c r="Q65" s="25">
        <f t="shared" si="4"/>
        <v>4.0999999999999996</v>
      </c>
      <c r="R65" s="6"/>
    </row>
    <row r="66" spans="1:18">
      <c r="A66" s="46">
        <f t="shared" si="5"/>
        <v>35</v>
      </c>
      <c r="B66" s="24">
        <f t="shared" ref="B66:K66" si="16">B29-0.7</f>
        <v>2.7</v>
      </c>
      <c r="C66" s="23">
        <f t="shared" si="16"/>
        <v>3.8999999999999995</v>
      </c>
      <c r="D66" s="23">
        <f t="shared" si="16"/>
        <v>4.0999999999999996</v>
      </c>
      <c r="E66" s="23">
        <f t="shared" si="16"/>
        <v>4.3</v>
      </c>
      <c r="F66" s="23">
        <f t="shared" si="16"/>
        <v>3.3</v>
      </c>
      <c r="G66" s="23">
        <f t="shared" si="16"/>
        <v>4.2</v>
      </c>
      <c r="H66" s="23">
        <f t="shared" si="16"/>
        <v>2.7</v>
      </c>
      <c r="I66" s="25">
        <f t="shared" si="16"/>
        <v>2.2999999999999998</v>
      </c>
      <c r="J66" s="24">
        <f t="shared" si="16"/>
        <v>5.3999999999999995</v>
      </c>
      <c r="K66" s="23">
        <f t="shared" si="16"/>
        <v>3.5999999999999996</v>
      </c>
      <c r="L66" s="23">
        <f t="shared" si="7"/>
        <v>0.30000000000000004</v>
      </c>
      <c r="M66" s="23">
        <f t="shared" si="7"/>
        <v>4.05</v>
      </c>
      <c r="N66" s="23">
        <f t="shared" si="7"/>
        <v>3.5</v>
      </c>
      <c r="O66" s="23">
        <f t="shared" si="7"/>
        <v>3.3</v>
      </c>
      <c r="P66" s="23">
        <f t="shared" si="7"/>
        <v>4.3</v>
      </c>
      <c r="Q66" s="25">
        <f t="shared" si="4"/>
        <v>4</v>
      </c>
      <c r="R66" s="6"/>
    </row>
    <row r="67" spans="1:18">
      <c r="A67" s="46">
        <f t="shared" si="5"/>
        <v>38</v>
      </c>
      <c r="B67" s="24">
        <f t="shared" ref="B67:K67" si="17">B30-0.7</f>
        <v>2.7</v>
      </c>
      <c r="C67" s="23">
        <f t="shared" si="17"/>
        <v>4</v>
      </c>
      <c r="D67" s="23">
        <f t="shared" si="17"/>
        <v>4.0999999999999996</v>
      </c>
      <c r="E67" s="23">
        <f t="shared" si="17"/>
        <v>4.5</v>
      </c>
      <c r="F67" s="23">
        <f t="shared" si="17"/>
        <v>3.5999999999999996</v>
      </c>
      <c r="G67" s="23">
        <f t="shared" si="17"/>
        <v>4.2</v>
      </c>
      <c r="H67" s="23">
        <f t="shared" si="17"/>
        <v>2.5999999999999996</v>
      </c>
      <c r="I67" s="25">
        <f t="shared" si="17"/>
        <v>2.2999999999999998</v>
      </c>
      <c r="J67" s="24">
        <f t="shared" si="17"/>
        <v>5.7</v>
      </c>
      <c r="K67" s="23">
        <f t="shared" si="17"/>
        <v>4</v>
      </c>
      <c r="L67" s="23">
        <f t="shared" si="7"/>
        <v>0.30000000000000004</v>
      </c>
      <c r="M67" s="23">
        <f t="shared" si="7"/>
        <v>4.5999999999999996</v>
      </c>
      <c r="N67" s="23">
        <f t="shared" si="7"/>
        <v>4</v>
      </c>
      <c r="O67" s="23">
        <f t="shared" si="7"/>
        <v>3.3</v>
      </c>
      <c r="P67" s="23">
        <f t="shared" si="7"/>
        <v>4.8999999999999995</v>
      </c>
      <c r="Q67" s="25">
        <f t="shared" si="4"/>
        <v>4.8</v>
      </c>
      <c r="R67" s="6"/>
    </row>
    <row r="68" spans="1:18">
      <c r="A68" s="46">
        <f t="shared" si="5"/>
        <v>41</v>
      </c>
      <c r="B68" s="24">
        <f t="shared" ref="B68:Q68" si="18">B31-0.7</f>
        <v>2.8</v>
      </c>
      <c r="C68" s="23">
        <f t="shared" si="18"/>
        <v>4.2</v>
      </c>
      <c r="D68" s="23">
        <f t="shared" si="18"/>
        <v>4.7</v>
      </c>
      <c r="E68" s="23">
        <f t="shared" si="18"/>
        <v>4.2</v>
      </c>
      <c r="F68" s="23">
        <f t="shared" si="18"/>
        <v>3.5</v>
      </c>
      <c r="G68" s="23">
        <f t="shared" si="18"/>
        <v>4.7</v>
      </c>
      <c r="H68" s="23">
        <f t="shared" si="18"/>
        <v>2.8</v>
      </c>
      <c r="I68" s="25">
        <f t="shared" si="18"/>
        <v>2.2999999999999998</v>
      </c>
      <c r="J68" s="24">
        <f t="shared" si="18"/>
        <v>5.8</v>
      </c>
      <c r="K68" s="23">
        <f t="shared" si="18"/>
        <v>4.3</v>
      </c>
      <c r="L68" s="23">
        <f t="shared" si="18"/>
        <v>0.30000000000000004</v>
      </c>
      <c r="M68" s="23">
        <f t="shared" si="18"/>
        <v>5.3</v>
      </c>
      <c r="N68" s="23">
        <f t="shared" si="18"/>
        <v>5.8</v>
      </c>
      <c r="O68" s="23">
        <f t="shared" si="18"/>
        <v>4</v>
      </c>
      <c r="P68" s="23">
        <f t="shared" si="18"/>
        <v>5.2</v>
      </c>
      <c r="Q68" s="25">
        <f t="shared" si="18"/>
        <v>5.0999999999999996</v>
      </c>
      <c r="R68" s="57"/>
    </row>
    <row r="69" spans="1:18">
      <c r="A69" s="46">
        <f t="shared" si="5"/>
        <v>46</v>
      </c>
      <c r="B69" s="24">
        <f t="shared" ref="B69:Q69" si="19">B32-0.7</f>
        <v>3</v>
      </c>
      <c r="C69" s="23">
        <f t="shared" si="19"/>
        <v>4.2</v>
      </c>
      <c r="D69" s="23">
        <f t="shared" si="19"/>
        <v>4.2</v>
      </c>
      <c r="E69" s="23">
        <f t="shared" si="19"/>
        <v>4.3</v>
      </c>
      <c r="F69" s="23">
        <f t="shared" si="19"/>
        <v>3.3</v>
      </c>
      <c r="G69" s="23">
        <f t="shared" si="19"/>
        <v>4.7</v>
      </c>
      <c r="H69" s="23">
        <f t="shared" si="19"/>
        <v>2.9000000000000004</v>
      </c>
      <c r="I69" s="25">
        <f t="shared" si="19"/>
        <v>2.5999999999999996</v>
      </c>
      <c r="J69" s="24">
        <f t="shared" si="19"/>
        <v>5.0999999999999996</v>
      </c>
      <c r="K69" s="23">
        <f t="shared" si="19"/>
        <v>3.3999999999999995</v>
      </c>
      <c r="L69" s="23">
        <f t="shared" si="19"/>
        <v>0.30000000000000004</v>
      </c>
      <c r="M69" s="23">
        <f t="shared" si="19"/>
        <v>4.0999999999999996</v>
      </c>
      <c r="N69" s="23">
        <f t="shared" si="19"/>
        <v>3.8</v>
      </c>
      <c r="O69" s="23">
        <f t="shared" si="19"/>
        <v>3.5999999999999996</v>
      </c>
      <c r="P69" s="23">
        <f t="shared" si="19"/>
        <v>4.3</v>
      </c>
      <c r="Q69" s="25">
        <f t="shared" si="19"/>
        <v>4.3</v>
      </c>
      <c r="R69" s="57"/>
    </row>
    <row r="70" spans="1:18">
      <c r="A70" s="46">
        <f t="shared" si="5"/>
        <v>49</v>
      </c>
      <c r="B70" s="24">
        <f t="shared" ref="B70:Q70" si="20">B33-0.7</f>
        <v>3.3999999999999995</v>
      </c>
      <c r="C70" s="23">
        <f t="shared" si="20"/>
        <v>4.3999999999999995</v>
      </c>
      <c r="D70" s="23">
        <f t="shared" si="20"/>
        <v>4.5</v>
      </c>
      <c r="E70" s="23">
        <f t="shared" si="20"/>
        <v>4.7</v>
      </c>
      <c r="F70" s="23">
        <f t="shared" si="20"/>
        <v>4</v>
      </c>
      <c r="G70" s="23">
        <f t="shared" si="20"/>
        <v>6</v>
      </c>
      <c r="H70" s="23">
        <f t="shared" si="20"/>
        <v>3.0999999999999996</v>
      </c>
      <c r="I70" s="25">
        <f t="shared" si="20"/>
        <v>2.4000000000000004</v>
      </c>
      <c r="J70" s="24">
        <f t="shared" si="20"/>
        <v>5.3</v>
      </c>
      <c r="K70" s="23">
        <f t="shared" si="20"/>
        <v>3.5</v>
      </c>
      <c r="L70" s="23">
        <f t="shared" si="20"/>
        <v>0.30000000000000004</v>
      </c>
      <c r="M70" s="23">
        <f t="shared" si="20"/>
        <v>4</v>
      </c>
      <c r="N70" s="23">
        <f t="shared" si="20"/>
        <v>3.8</v>
      </c>
      <c r="O70" s="23">
        <f t="shared" si="20"/>
        <v>3.8999999999999995</v>
      </c>
      <c r="P70" s="23">
        <f t="shared" si="20"/>
        <v>4.0999999999999996</v>
      </c>
      <c r="Q70" s="25">
        <f t="shared" si="20"/>
        <v>4.2</v>
      </c>
      <c r="R70" s="57"/>
    </row>
    <row r="71" spans="1:18">
      <c r="A71" s="46">
        <f t="shared" si="5"/>
        <v>53</v>
      </c>
      <c r="B71" s="24">
        <f t="shared" ref="B71:Q71" si="21">B34-0.7</f>
        <v>3.2</v>
      </c>
      <c r="C71" s="23">
        <f t="shared" si="21"/>
        <v>4.2</v>
      </c>
      <c r="D71" s="23">
        <f t="shared" si="21"/>
        <v>4.5999999999999996</v>
      </c>
      <c r="E71" s="23">
        <f t="shared" si="21"/>
        <v>5.0999999999999996</v>
      </c>
      <c r="F71" s="23">
        <f t="shared" si="21"/>
        <v>3.7</v>
      </c>
      <c r="G71" s="23">
        <f t="shared" si="21"/>
        <v>5.6</v>
      </c>
      <c r="H71" s="23">
        <f t="shared" si="21"/>
        <v>3</v>
      </c>
      <c r="I71" s="25">
        <f t="shared" si="21"/>
        <v>2.5</v>
      </c>
      <c r="J71" s="24">
        <f t="shared" si="21"/>
        <v>5.6</v>
      </c>
      <c r="K71" s="23">
        <f t="shared" si="21"/>
        <v>4.0999999999999996</v>
      </c>
      <c r="L71" s="23">
        <f t="shared" si="21"/>
        <v>0.30000000000000004</v>
      </c>
      <c r="M71" s="23">
        <f t="shared" si="21"/>
        <v>4.7</v>
      </c>
      <c r="N71" s="23">
        <f t="shared" si="21"/>
        <v>3.8999999999999995</v>
      </c>
      <c r="O71" s="23">
        <f t="shared" si="21"/>
        <v>3.7</v>
      </c>
      <c r="P71" s="23">
        <f t="shared" si="21"/>
        <v>4.7</v>
      </c>
      <c r="Q71" s="25">
        <f t="shared" si="21"/>
        <v>4.8</v>
      </c>
      <c r="R71" s="57"/>
    </row>
    <row r="72" spans="1:18">
      <c r="A72" s="46">
        <f t="shared" si="5"/>
        <v>58</v>
      </c>
      <c r="B72" s="24">
        <f t="shared" ref="B72:Q72" si="22">B35-0.7</f>
        <v>2.9000000000000004</v>
      </c>
      <c r="C72" s="23">
        <f t="shared" si="22"/>
        <v>4.5999999999999996</v>
      </c>
      <c r="D72" s="23">
        <f t="shared" si="22"/>
        <v>4.76</v>
      </c>
      <c r="E72" s="23">
        <f t="shared" si="22"/>
        <v>5.04</v>
      </c>
      <c r="F72" s="23">
        <f t="shared" si="22"/>
        <v>4.0599999999999996</v>
      </c>
      <c r="G72" s="23">
        <f t="shared" si="22"/>
        <v>5.6</v>
      </c>
      <c r="H72" s="23">
        <f t="shared" si="22"/>
        <v>3.0999999999999996</v>
      </c>
      <c r="I72" s="25">
        <f t="shared" si="22"/>
        <v>2.4500000000000002</v>
      </c>
      <c r="J72" s="24">
        <f t="shared" si="22"/>
        <v>5.7</v>
      </c>
      <c r="K72" s="23">
        <f t="shared" si="22"/>
        <v>4.2</v>
      </c>
      <c r="L72" s="23">
        <f t="shared" si="22"/>
        <v>0.30000000000000004</v>
      </c>
      <c r="M72" s="23">
        <f t="shared" si="22"/>
        <v>4.6499999999999995</v>
      </c>
      <c r="N72" s="23">
        <f t="shared" si="22"/>
        <v>3.8</v>
      </c>
      <c r="O72" s="23">
        <f t="shared" si="22"/>
        <v>3.8</v>
      </c>
      <c r="P72" s="23">
        <f t="shared" si="22"/>
        <v>4.7</v>
      </c>
      <c r="Q72" s="25">
        <f t="shared" si="22"/>
        <v>5.16</v>
      </c>
      <c r="R72" s="64"/>
    </row>
    <row r="73" spans="1:18">
      <c r="A73" s="46">
        <f t="shared" si="5"/>
        <v>63</v>
      </c>
      <c r="B73" s="24">
        <f t="shared" ref="B73:Q73" si="23">B36-0.7</f>
        <v>3</v>
      </c>
      <c r="C73" s="23">
        <f t="shared" si="23"/>
        <v>4.8</v>
      </c>
      <c r="D73" s="23">
        <f t="shared" si="23"/>
        <v>4.8</v>
      </c>
      <c r="E73" s="23">
        <f t="shared" si="23"/>
        <v>5.3999999999999995</v>
      </c>
      <c r="F73" s="23">
        <f t="shared" si="23"/>
        <v>4.2</v>
      </c>
      <c r="G73" s="23">
        <f t="shared" si="23"/>
        <v>6.8</v>
      </c>
      <c r="H73" s="23">
        <f t="shared" si="23"/>
        <v>3</v>
      </c>
      <c r="I73" s="25">
        <f t="shared" si="23"/>
        <v>2.9000000000000004</v>
      </c>
      <c r="J73" s="24">
        <f t="shared" si="23"/>
        <v>5.6</v>
      </c>
      <c r="K73" s="23">
        <f t="shared" si="23"/>
        <v>4</v>
      </c>
      <c r="L73" s="23">
        <f t="shared" si="23"/>
        <v>0.30000000000000004</v>
      </c>
      <c r="M73" s="23">
        <f t="shared" si="23"/>
        <v>4.3999999999999995</v>
      </c>
      <c r="N73" s="23">
        <f t="shared" si="23"/>
        <v>4.0999999999999996</v>
      </c>
      <c r="O73" s="23">
        <f t="shared" si="23"/>
        <v>4</v>
      </c>
      <c r="P73" s="23">
        <f t="shared" si="23"/>
        <v>4.5999999999999996</v>
      </c>
      <c r="Q73" s="25">
        <f t="shared" si="23"/>
        <v>4.8999999999999995</v>
      </c>
      <c r="R73" s="64"/>
    </row>
    <row r="74" spans="1:18">
      <c r="A74" s="46">
        <f t="shared" si="5"/>
        <v>66</v>
      </c>
      <c r="B74" s="24">
        <f t="shared" ref="B74:Q74" si="24">B37-0.7</f>
        <v>3.0999999999999996</v>
      </c>
      <c r="C74" s="23">
        <f t="shared" si="24"/>
        <v>4.5</v>
      </c>
      <c r="D74" s="23">
        <f t="shared" si="24"/>
        <v>4.7</v>
      </c>
      <c r="E74" s="23">
        <f t="shared" si="24"/>
        <v>5.3</v>
      </c>
      <c r="F74" s="23">
        <f t="shared" si="24"/>
        <v>4.2</v>
      </c>
      <c r="G74" s="23">
        <f t="shared" si="24"/>
        <v>6.3999999999999995</v>
      </c>
      <c r="H74" s="23">
        <f t="shared" si="24"/>
        <v>3</v>
      </c>
      <c r="I74" s="25">
        <f t="shared" si="24"/>
        <v>2.5999999999999996</v>
      </c>
      <c r="J74" s="24">
        <f t="shared" si="24"/>
        <v>6.3999999999999995</v>
      </c>
      <c r="K74" s="23">
        <f t="shared" si="24"/>
        <v>4.8</v>
      </c>
      <c r="L74" s="23">
        <f t="shared" si="24"/>
        <v>0.30000000000000004</v>
      </c>
      <c r="M74" s="23">
        <f t="shared" si="24"/>
        <v>5.0999999999999996</v>
      </c>
      <c r="N74" s="23">
        <f t="shared" si="24"/>
        <v>4.3999999999999995</v>
      </c>
      <c r="O74" s="23">
        <f t="shared" si="24"/>
        <v>5.2</v>
      </c>
      <c r="P74" s="23">
        <f t="shared" si="24"/>
        <v>5.3</v>
      </c>
      <c r="Q74" s="25">
        <f t="shared" si="24"/>
        <v>5.8</v>
      </c>
      <c r="R74" s="66"/>
    </row>
    <row r="75" spans="1:18">
      <c r="A75" s="46">
        <f t="shared" si="5"/>
        <v>70</v>
      </c>
      <c r="B75" s="24">
        <f t="shared" ref="B75:Q75" si="25">B38-0.7</f>
        <v>3.3</v>
      </c>
      <c r="C75" s="23">
        <f t="shared" si="25"/>
        <v>4.5999999999999996</v>
      </c>
      <c r="D75" s="23">
        <f t="shared" si="25"/>
        <v>4.8999999999999995</v>
      </c>
      <c r="E75" s="23">
        <f t="shared" si="25"/>
        <v>5.6</v>
      </c>
      <c r="F75" s="23">
        <f t="shared" si="25"/>
        <v>4.3999999999999995</v>
      </c>
      <c r="G75" s="23">
        <f t="shared" si="25"/>
        <v>6.7</v>
      </c>
      <c r="H75" s="23">
        <f t="shared" si="25"/>
        <v>3</v>
      </c>
      <c r="I75" s="25">
        <f t="shared" si="25"/>
        <v>3</v>
      </c>
      <c r="J75" s="24">
        <f t="shared" si="25"/>
        <v>6.56</v>
      </c>
      <c r="K75" s="23">
        <f t="shared" si="25"/>
        <v>5.05</v>
      </c>
      <c r="L75" s="23">
        <f t="shared" si="25"/>
        <v>0.30000000000000004</v>
      </c>
      <c r="M75" s="23">
        <f t="shared" si="25"/>
        <v>5.3999999999999995</v>
      </c>
      <c r="N75" s="23">
        <f t="shared" si="25"/>
        <v>5</v>
      </c>
      <c r="O75" s="23">
        <f t="shared" si="25"/>
        <v>4.5999999999999996</v>
      </c>
      <c r="P75" s="23">
        <f t="shared" si="25"/>
        <v>5.8999999999999995</v>
      </c>
      <c r="Q75" s="25">
        <f t="shared" si="25"/>
        <v>6.3999999999999995</v>
      </c>
      <c r="R75" s="66"/>
    </row>
    <row r="76" spans="1:18">
      <c r="A76" s="46">
        <f t="shared" si="5"/>
        <v>73</v>
      </c>
      <c r="B76" s="24">
        <f t="shared" ref="B76:Q76" si="26">B39-0.7</f>
        <v>3.3</v>
      </c>
      <c r="C76" s="23">
        <f t="shared" si="26"/>
        <v>4.8999999999999995</v>
      </c>
      <c r="D76" s="23">
        <f t="shared" si="26"/>
        <v>4.8</v>
      </c>
      <c r="E76" s="23">
        <f t="shared" si="26"/>
        <v>5.8999999999999995</v>
      </c>
      <c r="F76" s="23">
        <f t="shared" si="26"/>
        <v>4.3999999999999995</v>
      </c>
      <c r="G76" s="23">
        <f t="shared" si="26"/>
        <v>7.1</v>
      </c>
      <c r="H76" s="23">
        <f t="shared" si="26"/>
        <v>3.2</v>
      </c>
      <c r="I76" s="25">
        <f t="shared" si="26"/>
        <v>3.8</v>
      </c>
      <c r="J76" s="24">
        <f t="shared" si="26"/>
        <v>6.2</v>
      </c>
      <c r="K76" s="23">
        <f t="shared" si="26"/>
        <v>4.5999999999999996</v>
      </c>
      <c r="L76" s="23">
        <f t="shared" si="26"/>
        <v>0.30000000000000004</v>
      </c>
      <c r="M76" s="23">
        <f t="shared" si="26"/>
        <v>5</v>
      </c>
      <c r="N76" s="23">
        <f t="shared" si="26"/>
        <v>4.5999999999999996</v>
      </c>
      <c r="O76" s="23">
        <f t="shared" si="26"/>
        <v>3.5</v>
      </c>
      <c r="P76" s="23">
        <f t="shared" si="26"/>
        <v>5.6</v>
      </c>
      <c r="Q76" s="25">
        <f t="shared" si="26"/>
        <v>5.8999999999999995</v>
      </c>
      <c r="R76" s="70"/>
    </row>
    <row r="77" spans="1:18">
      <c r="A77" s="46"/>
      <c r="B77" s="24"/>
      <c r="C77" s="23"/>
      <c r="D77" s="23"/>
      <c r="E77" s="23"/>
      <c r="F77" s="23"/>
      <c r="G77" s="23"/>
      <c r="H77" s="23"/>
      <c r="I77" s="25"/>
      <c r="J77" s="23"/>
      <c r="K77" s="23"/>
      <c r="L77" s="23"/>
      <c r="M77" s="23"/>
      <c r="N77" s="23"/>
      <c r="O77" s="23"/>
      <c r="P77" s="23"/>
      <c r="Q77" s="25"/>
      <c r="R77" s="70"/>
    </row>
    <row r="78" spans="1:18">
      <c r="A78" s="46"/>
      <c r="B78" s="24"/>
      <c r="C78" s="23"/>
      <c r="D78" s="23"/>
      <c r="E78" s="23"/>
      <c r="F78" s="23"/>
      <c r="G78" s="23"/>
      <c r="H78" s="23"/>
      <c r="I78" s="25"/>
      <c r="J78" s="23"/>
      <c r="K78" s="23"/>
      <c r="L78" s="23"/>
      <c r="M78" s="23"/>
      <c r="N78" s="23"/>
      <c r="O78" s="23"/>
      <c r="P78" s="23"/>
      <c r="Q78" s="25"/>
      <c r="R78" s="66"/>
    </row>
    <row r="79" spans="1:18" ht="19" thickBot="1">
      <c r="A79" s="6"/>
      <c r="B79" s="3"/>
      <c r="C79" s="4"/>
      <c r="D79" s="4"/>
      <c r="E79" s="4"/>
      <c r="F79" s="4"/>
      <c r="G79" s="4"/>
      <c r="H79" s="4"/>
      <c r="I79" s="32"/>
      <c r="J79" s="4"/>
      <c r="K79" s="4"/>
      <c r="L79" s="4"/>
      <c r="M79" s="4"/>
      <c r="N79" s="4"/>
      <c r="O79" s="4"/>
      <c r="P79" s="4"/>
      <c r="Q79" s="32"/>
      <c r="R79" s="6"/>
    </row>
    <row r="80" spans="1:18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9" thickBo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9" thickBot="1">
      <c r="A84" s="7" t="s">
        <v>12</v>
      </c>
      <c r="B84" s="72" t="s">
        <v>10</v>
      </c>
      <c r="C84" s="73"/>
      <c r="D84" s="73"/>
      <c r="E84" s="73"/>
      <c r="F84" s="73"/>
      <c r="G84" s="73"/>
      <c r="H84" s="73"/>
      <c r="I84" s="74"/>
      <c r="J84" s="72">
        <v>239</v>
      </c>
      <c r="K84" s="73"/>
      <c r="L84" s="73"/>
      <c r="M84" s="73"/>
      <c r="N84" s="73"/>
      <c r="O84" s="73"/>
      <c r="P84" s="73"/>
      <c r="Q84" s="74"/>
      <c r="R84" s="6"/>
    </row>
    <row r="85" spans="1:18" ht="19" thickBot="1">
      <c r="A85" s="7"/>
      <c r="B85" s="72" t="s">
        <v>17</v>
      </c>
      <c r="C85" s="73"/>
      <c r="D85" s="73"/>
      <c r="E85" s="73"/>
      <c r="F85" s="73"/>
      <c r="G85" s="73"/>
      <c r="H85" s="73"/>
      <c r="I85" s="74"/>
      <c r="J85" s="72" t="s">
        <v>18</v>
      </c>
      <c r="K85" s="73"/>
      <c r="L85" s="73"/>
      <c r="M85" s="73"/>
      <c r="N85" s="73"/>
      <c r="O85" s="73"/>
      <c r="P85" s="73"/>
      <c r="Q85" s="74"/>
      <c r="R85" s="6"/>
    </row>
    <row r="86" spans="1:18" ht="19">
      <c r="A86" s="8" t="s">
        <v>19</v>
      </c>
      <c r="B86" s="75">
        <v>14</v>
      </c>
      <c r="C86" s="76"/>
      <c r="D86" s="77">
        <v>15</v>
      </c>
      <c r="E86" s="77"/>
      <c r="F86" s="77">
        <v>16</v>
      </c>
      <c r="G86" s="77"/>
      <c r="H86" s="77">
        <v>17</v>
      </c>
      <c r="I86" s="78"/>
      <c r="J86" s="79">
        <v>839</v>
      </c>
      <c r="K86" s="80"/>
      <c r="L86" s="81">
        <v>840</v>
      </c>
      <c r="M86" s="80"/>
      <c r="N86" s="81">
        <v>1</v>
      </c>
      <c r="O86" s="80"/>
      <c r="P86" s="81">
        <v>2</v>
      </c>
      <c r="Q86" s="82"/>
      <c r="R86" s="6"/>
    </row>
    <row r="87" spans="1:18" ht="20" thickBot="1">
      <c r="A87" s="8"/>
      <c r="B87" s="26" t="s">
        <v>1</v>
      </c>
      <c r="C87" s="9" t="s">
        <v>2</v>
      </c>
      <c r="D87" s="9" t="s">
        <v>1</v>
      </c>
      <c r="E87" s="9" t="s">
        <v>2</v>
      </c>
      <c r="F87" s="9" t="s">
        <v>1</v>
      </c>
      <c r="G87" s="9" t="s">
        <v>2</v>
      </c>
      <c r="H87" s="9" t="s">
        <v>1</v>
      </c>
      <c r="I87" s="10" t="s">
        <v>2</v>
      </c>
      <c r="J87" s="11" t="s">
        <v>1</v>
      </c>
      <c r="K87" s="12" t="s">
        <v>2</v>
      </c>
      <c r="L87" s="12" t="s">
        <v>1</v>
      </c>
      <c r="M87" s="12" t="s">
        <v>2</v>
      </c>
      <c r="N87" s="12" t="s">
        <v>1</v>
      </c>
      <c r="O87" s="12" t="s">
        <v>2</v>
      </c>
      <c r="P87" s="12" t="s">
        <v>1</v>
      </c>
      <c r="Q87" s="13" t="s">
        <v>2</v>
      </c>
      <c r="R87" s="6"/>
    </row>
    <row r="88" spans="1:18" s="15" customFormat="1">
      <c r="A88" s="14">
        <f t="shared" ref="A88:A108" si="27">A56/7</f>
        <v>0</v>
      </c>
      <c r="B88" s="24">
        <f t="shared" ref="B88:Q88" si="28">B56/B$56</f>
        <v>1</v>
      </c>
      <c r="C88" s="23">
        <f t="shared" si="28"/>
        <v>1</v>
      </c>
      <c r="D88" s="23">
        <f t="shared" si="28"/>
        <v>1</v>
      </c>
      <c r="E88" s="23">
        <f t="shared" si="28"/>
        <v>1</v>
      </c>
      <c r="F88" s="23">
        <f t="shared" si="28"/>
        <v>1</v>
      </c>
      <c r="G88" s="56">
        <f t="shared" si="28"/>
        <v>1</v>
      </c>
      <c r="H88" s="23">
        <f t="shared" si="28"/>
        <v>1</v>
      </c>
      <c r="I88" s="25">
        <f t="shared" si="28"/>
        <v>1</v>
      </c>
      <c r="J88" s="24">
        <f t="shared" si="28"/>
        <v>1</v>
      </c>
      <c r="K88" s="23">
        <f t="shared" si="28"/>
        <v>1</v>
      </c>
      <c r="L88" s="56">
        <f t="shared" si="28"/>
        <v>1</v>
      </c>
      <c r="M88" s="23">
        <f t="shared" si="28"/>
        <v>1</v>
      </c>
      <c r="N88" s="23">
        <f t="shared" si="28"/>
        <v>1</v>
      </c>
      <c r="O88" s="23">
        <f t="shared" si="28"/>
        <v>1</v>
      </c>
      <c r="P88" s="23">
        <f t="shared" si="28"/>
        <v>1</v>
      </c>
      <c r="Q88" s="25">
        <f t="shared" si="28"/>
        <v>1</v>
      </c>
      <c r="R88" s="14"/>
    </row>
    <row r="89" spans="1:18" s="15" customFormat="1">
      <c r="A89" s="14">
        <f t="shared" si="27"/>
        <v>0.42857142857142855</v>
      </c>
      <c r="B89" s="24">
        <f t="shared" ref="B89:Q89" si="29">B57/B$56</f>
        <v>0.77777777777777757</v>
      </c>
      <c r="C89" s="23">
        <f t="shared" si="29"/>
        <v>0.77499999999999991</v>
      </c>
      <c r="D89" s="23">
        <f t="shared" si="29"/>
        <v>0.78571428571428559</v>
      </c>
      <c r="E89" s="23">
        <f t="shared" si="29"/>
        <v>0.73170731707317083</v>
      </c>
      <c r="F89" s="23">
        <f t="shared" si="29"/>
        <v>0.47222222222222227</v>
      </c>
      <c r="G89" s="56">
        <f t="shared" si="29"/>
        <v>0.76470588235294124</v>
      </c>
      <c r="H89" s="23">
        <f t="shared" si="29"/>
        <v>0.76666666666666661</v>
      </c>
      <c r="I89" s="25">
        <f t="shared" si="29"/>
        <v>0.85714285714285732</v>
      </c>
      <c r="J89" s="24">
        <f t="shared" si="29"/>
        <v>0.77777777777777779</v>
      </c>
      <c r="K89" s="23">
        <f t="shared" si="29"/>
        <v>0.87096774193548399</v>
      </c>
      <c r="L89" s="56">
        <f t="shared" si="29"/>
        <v>1</v>
      </c>
      <c r="M89" s="23">
        <f t="shared" si="29"/>
        <v>0.72222222222222221</v>
      </c>
      <c r="N89" s="23">
        <f t="shared" si="29"/>
        <v>0.64999999999999991</v>
      </c>
      <c r="O89" s="23">
        <f t="shared" si="29"/>
        <v>0.75757575757575757</v>
      </c>
      <c r="P89" s="23">
        <f t="shared" si="29"/>
        <v>0.72500000000000009</v>
      </c>
      <c r="Q89" s="25">
        <f t="shared" si="29"/>
        <v>0.74285714285714277</v>
      </c>
      <c r="R89" s="14"/>
    </row>
    <row r="90" spans="1:18" s="15" customFormat="1">
      <c r="A90" s="14">
        <f t="shared" si="27"/>
        <v>0.8571428571428571</v>
      </c>
      <c r="B90" s="24">
        <f t="shared" ref="B90:Q90" si="30">B58/B$56</f>
        <v>0.70370370370370372</v>
      </c>
      <c r="C90" s="23">
        <f t="shared" si="30"/>
        <v>0.75</v>
      </c>
      <c r="D90" s="23">
        <f t="shared" si="30"/>
        <v>0.69047619047619058</v>
      </c>
      <c r="E90" s="23">
        <f t="shared" si="30"/>
        <v>0.73170731707317083</v>
      </c>
      <c r="F90" s="23">
        <f t="shared" si="30"/>
        <v>0.69444444444444453</v>
      </c>
      <c r="G90" s="56">
        <f t="shared" si="30"/>
        <v>0.70588235294117674</v>
      </c>
      <c r="H90" s="23">
        <f t="shared" si="30"/>
        <v>0.69999999999999984</v>
      </c>
      <c r="I90" s="25">
        <f t="shared" si="30"/>
        <v>0.78571428571428581</v>
      </c>
      <c r="J90" s="24">
        <f t="shared" si="30"/>
        <v>0.71111111111111114</v>
      </c>
      <c r="K90" s="23">
        <f t="shared" si="30"/>
        <v>0.77419354838709697</v>
      </c>
      <c r="L90" s="56">
        <f t="shared" si="30"/>
        <v>1</v>
      </c>
      <c r="M90" s="23">
        <f t="shared" si="30"/>
        <v>0.66666666666666685</v>
      </c>
      <c r="N90" s="23">
        <f t="shared" si="30"/>
        <v>0.64999999999999991</v>
      </c>
      <c r="O90" s="23">
        <f t="shared" si="30"/>
        <v>0.63636363636363624</v>
      </c>
      <c r="P90" s="23">
        <f t="shared" si="30"/>
        <v>0.60000000000000009</v>
      </c>
      <c r="Q90" s="25">
        <f t="shared" si="30"/>
        <v>0.65714285714285714</v>
      </c>
      <c r="R90" s="14"/>
    </row>
    <row r="91" spans="1:18" s="15" customFormat="1">
      <c r="A91" s="14">
        <f t="shared" si="27"/>
        <v>1.4285714285714286</v>
      </c>
      <c r="B91" s="24">
        <f t="shared" ref="B91:Q91" si="31">B59/B$56</f>
        <v>0.85185185185185175</v>
      </c>
      <c r="C91" s="23">
        <f t="shared" si="31"/>
        <v>0.77499999999999991</v>
      </c>
      <c r="D91" s="23">
        <f t="shared" si="31"/>
        <v>0.69047619047619058</v>
      </c>
      <c r="E91" s="23">
        <f t="shared" si="31"/>
        <v>0.67073170731707321</v>
      </c>
      <c r="F91" s="23">
        <f t="shared" si="31"/>
        <v>0.63888888888888895</v>
      </c>
      <c r="G91" s="56">
        <f t="shared" si="31"/>
        <v>0.72058823529411786</v>
      </c>
      <c r="H91" s="23">
        <f t="shared" si="31"/>
        <v>0.65</v>
      </c>
      <c r="I91" s="25">
        <f t="shared" si="31"/>
        <v>0.92857142857142849</v>
      </c>
      <c r="J91" s="24">
        <f t="shared" si="31"/>
        <v>0.86666666666666659</v>
      </c>
      <c r="K91" s="23">
        <f t="shared" si="31"/>
        <v>0.83870967741935487</v>
      </c>
      <c r="L91" s="56">
        <f t="shared" si="31"/>
        <v>1</v>
      </c>
      <c r="M91" s="23">
        <f t="shared" si="31"/>
        <v>0.86111111111111105</v>
      </c>
      <c r="N91" s="23">
        <f t="shared" si="31"/>
        <v>0.64999999999999991</v>
      </c>
      <c r="O91" s="23">
        <f t="shared" si="31"/>
        <v>0.90909090909090917</v>
      </c>
      <c r="P91" s="23">
        <f t="shared" si="31"/>
        <v>0.67500000000000004</v>
      </c>
      <c r="Q91" s="25">
        <f t="shared" si="31"/>
        <v>0.8571428571428571</v>
      </c>
      <c r="R91" s="14"/>
    </row>
    <row r="92" spans="1:18" s="15" customFormat="1">
      <c r="A92" s="14">
        <f t="shared" si="27"/>
        <v>2</v>
      </c>
      <c r="B92" s="24">
        <f t="shared" ref="B92:Q92" si="32">B60/B$56</f>
        <v>0.7407407407407407</v>
      </c>
      <c r="C92" s="23">
        <f t="shared" si="32"/>
        <v>0.8</v>
      </c>
      <c r="D92" s="23">
        <f t="shared" si="32"/>
        <v>0.78571428571428559</v>
      </c>
      <c r="E92" s="23">
        <f t="shared" si="32"/>
        <v>0.68292682926829273</v>
      </c>
      <c r="F92" s="23">
        <f t="shared" si="32"/>
        <v>0.47222222222222227</v>
      </c>
      <c r="G92" s="56">
        <f t="shared" si="32"/>
        <v>0.76470588235294124</v>
      </c>
      <c r="H92" s="23">
        <f t="shared" si="32"/>
        <v>0.56666666666666665</v>
      </c>
      <c r="I92" s="25">
        <f t="shared" si="32"/>
        <v>0.4285714285714286</v>
      </c>
      <c r="J92" s="24">
        <f t="shared" si="32"/>
        <v>1.0222222222222221</v>
      </c>
      <c r="K92" s="23">
        <f t="shared" si="32"/>
        <v>0.87096774193548399</v>
      </c>
      <c r="L92" s="56">
        <f t="shared" si="32"/>
        <v>0.33333333333333359</v>
      </c>
      <c r="M92" s="23">
        <f t="shared" si="32"/>
        <v>0.97222222222222232</v>
      </c>
      <c r="N92" s="23">
        <f t="shared" si="32"/>
        <v>0.84999999999999987</v>
      </c>
      <c r="O92" s="23">
        <f t="shared" si="32"/>
        <v>0.66666666666666674</v>
      </c>
      <c r="P92" s="23">
        <f t="shared" si="32"/>
        <v>0.75</v>
      </c>
      <c r="Q92" s="25">
        <f t="shared" si="32"/>
        <v>0.91428571428571437</v>
      </c>
      <c r="R92" s="14"/>
    </row>
    <row r="93" spans="1:18" s="15" customFormat="1">
      <c r="A93" s="14">
        <f t="shared" si="27"/>
        <v>2.2857142857142856</v>
      </c>
      <c r="B93" s="24">
        <f t="shared" ref="B93:Q93" si="33">B61/B$56</f>
        <v>0.70370370370370372</v>
      </c>
      <c r="C93" s="23">
        <f t="shared" si="33"/>
        <v>0.72500000000000009</v>
      </c>
      <c r="D93" s="23">
        <f t="shared" si="33"/>
        <v>0.76190476190476186</v>
      </c>
      <c r="E93" s="23">
        <f t="shared" si="33"/>
        <v>0.70731707317073189</v>
      </c>
      <c r="F93" s="23">
        <f t="shared" si="33"/>
        <v>0.77777777777777779</v>
      </c>
      <c r="G93" s="56">
        <f t="shared" si="33"/>
        <v>0.97058823529411775</v>
      </c>
      <c r="H93" s="23">
        <f t="shared" si="33"/>
        <v>0.69999999999999984</v>
      </c>
      <c r="I93" s="25">
        <f t="shared" si="33"/>
        <v>0.78571428571428581</v>
      </c>
      <c r="J93" s="24">
        <f t="shared" si="33"/>
        <v>0.86666666666666659</v>
      </c>
      <c r="K93" s="23">
        <f t="shared" si="33"/>
        <v>0.80645161290322587</v>
      </c>
      <c r="L93" s="56">
        <f t="shared" si="33"/>
        <v>1</v>
      </c>
      <c r="M93" s="23">
        <f t="shared" si="33"/>
        <v>0.97222222222222232</v>
      </c>
      <c r="N93" s="23">
        <f t="shared" si="33"/>
        <v>0.67500000000000004</v>
      </c>
      <c r="O93" s="23">
        <f t="shared" si="33"/>
        <v>0.93939393939393934</v>
      </c>
      <c r="P93" s="23">
        <f t="shared" si="33"/>
        <v>0.8</v>
      </c>
      <c r="Q93" s="25">
        <f t="shared" si="33"/>
        <v>0.94285714285714284</v>
      </c>
      <c r="R93" s="14"/>
    </row>
    <row r="94" spans="1:18" s="15" customFormat="1">
      <c r="A94" s="14">
        <f t="shared" si="27"/>
        <v>2.7142857142857144</v>
      </c>
      <c r="B94" s="24">
        <f t="shared" ref="B94:Q94" si="34">B62/B$56</f>
        <v>0.88888888888888895</v>
      </c>
      <c r="C94" s="23">
        <f t="shared" si="34"/>
        <v>0.82499999999999996</v>
      </c>
      <c r="D94" s="23">
        <f t="shared" si="34"/>
        <v>0.78571428571428559</v>
      </c>
      <c r="E94" s="23">
        <f t="shared" si="34"/>
        <v>0.73170731707317083</v>
      </c>
      <c r="F94" s="23">
        <f t="shared" si="34"/>
        <v>0.75000000000000011</v>
      </c>
      <c r="G94" s="56">
        <f t="shared" si="34"/>
        <v>1.1176470588235294</v>
      </c>
      <c r="H94" s="23">
        <f t="shared" si="34"/>
        <v>0.73333333333333339</v>
      </c>
      <c r="I94" s="25">
        <f t="shared" si="34"/>
        <v>0.78571428571428581</v>
      </c>
      <c r="J94" s="24">
        <f t="shared" si="34"/>
        <v>0.93333333333333335</v>
      </c>
      <c r="K94" s="23">
        <f t="shared" si="34"/>
        <v>0.90322580645161299</v>
      </c>
      <c r="L94" s="56">
        <f t="shared" si="34"/>
        <v>1</v>
      </c>
      <c r="M94" s="23">
        <f t="shared" si="34"/>
        <v>0.88888888888888906</v>
      </c>
      <c r="N94" s="23">
        <f t="shared" si="34"/>
        <v>0.72500000000000009</v>
      </c>
      <c r="O94" s="23">
        <f t="shared" si="34"/>
        <v>0.90909090909090917</v>
      </c>
      <c r="P94" s="23">
        <f t="shared" si="34"/>
        <v>0.77499999999999991</v>
      </c>
      <c r="Q94" s="25">
        <f t="shared" si="34"/>
        <v>0.82857142857142863</v>
      </c>
      <c r="R94" s="14"/>
    </row>
    <row r="95" spans="1:18" s="15" customFormat="1">
      <c r="A95" s="14">
        <f t="shared" si="27"/>
        <v>3.4285714285714284</v>
      </c>
      <c r="B95" s="24">
        <f t="shared" ref="B95:Q95" si="35">B63/B$56</f>
        <v>0.85185185185185175</v>
      </c>
      <c r="C95" s="23">
        <f t="shared" si="35"/>
        <v>0.82499999999999996</v>
      </c>
      <c r="D95" s="23">
        <f t="shared" si="35"/>
        <v>0.80952380952380931</v>
      </c>
      <c r="E95" s="23">
        <f t="shared" si="35"/>
        <v>0.82926829268292679</v>
      </c>
      <c r="F95" s="23">
        <f t="shared" si="35"/>
        <v>0.77777777777777779</v>
      </c>
      <c r="G95" s="56">
        <f t="shared" si="35"/>
        <v>1</v>
      </c>
      <c r="H95" s="23">
        <f t="shared" si="35"/>
        <v>0.76666666666666661</v>
      </c>
      <c r="I95" s="25">
        <f t="shared" si="35"/>
        <v>0.78571428571428581</v>
      </c>
      <c r="J95" s="24">
        <f t="shared" si="35"/>
        <v>1</v>
      </c>
      <c r="K95" s="23">
        <f t="shared" si="35"/>
        <v>0.90322580645161299</v>
      </c>
      <c r="L95" s="56">
        <f t="shared" si="35"/>
        <v>1</v>
      </c>
      <c r="M95" s="23">
        <f t="shared" si="35"/>
        <v>1.0833333333333333</v>
      </c>
      <c r="N95" s="23">
        <f t="shared" si="35"/>
        <v>0.8125</v>
      </c>
      <c r="O95" s="23">
        <f t="shared" si="35"/>
        <v>1.0303030303030303</v>
      </c>
      <c r="P95" s="23">
        <f t="shared" si="35"/>
        <v>0.95</v>
      </c>
      <c r="Q95" s="25">
        <f t="shared" si="35"/>
        <v>1.0571428571428572</v>
      </c>
      <c r="R95" s="14"/>
    </row>
    <row r="96" spans="1:18" s="15" customFormat="1">
      <c r="A96" s="14">
        <f t="shared" si="27"/>
        <v>4.1428571428571432</v>
      </c>
      <c r="B96" s="24">
        <f t="shared" ref="B96:Q96" si="36">B64/B$56</f>
        <v>0.88888888888888895</v>
      </c>
      <c r="C96" s="23">
        <f t="shared" si="36"/>
        <v>0.875</v>
      </c>
      <c r="D96" s="23">
        <f t="shared" si="36"/>
        <v>0.92857142857142838</v>
      </c>
      <c r="E96" s="23">
        <f t="shared" si="36"/>
        <v>0.85365853658536595</v>
      </c>
      <c r="F96" s="23">
        <f t="shared" si="36"/>
        <v>0.91666666666666674</v>
      </c>
      <c r="G96" s="56">
        <f t="shared" si="36"/>
        <v>1.3529411764705883</v>
      </c>
      <c r="H96" s="23">
        <f t="shared" si="36"/>
        <v>0.86666666666666659</v>
      </c>
      <c r="I96" s="25">
        <f t="shared" si="36"/>
        <v>0.74999999999999989</v>
      </c>
      <c r="J96" s="24">
        <f t="shared" si="36"/>
        <v>1.1111111111111112</v>
      </c>
      <c r="K96" s="23">
        <f t="shared" si="36"/>
        <v>1.1290322580645162</v>
      </c>
      <c r="L96" s="56">
        <f t="shared" si="36"/>
        <v>1</v>
      </c>
      <c r="M96" s="23">
        <f t="shared" si="36"/>
        <v>1.0833333333333333</v>
      </c>
      <c r="N96" s="23">
        <f t="shared" si="36"/>
        <v>0.92500000000000004</v>
      </c>
      <c r="O96" s="23">
        <f t="shared" si="36"/>
        <v>1.0606060606060606</v>
      </c>
      <c r="P96" s="23">
        <f t="shared" si="36"/>
        <v>1</v>
      </c>
      <c r="Q96" s="25">
        <f t="shared" si="36"/>
        <v>1.0571428571428572</v>
      </c>
      <c r="R96" s="14"/>
    </row>
    <row r="97" spans="1:18">
      <c r="A97" s="14">
        <f t="shared" si="27"/>
        <v>4.4285714285714288</v>
      </c>
      <c r="B97" s="24">
        <f t="shared" ref="B97:Q97" si="37">B65/B$56</f>
        <v>0.9629629629629628</v>
      </c>
      <c r="C97" s="23">
        <f t="shared" si="37"/>
        <v>0.89999999999999991</v>
      </c>
      <c r="D97" s="23">
        <f t="shared" si="37"/>
        <v>0.92857142857142838</v>
      </c>
      <c r="E97" s="23">
        <f t="shared" si="37"/>
        <v>0.90243902439024404</v>
      </c>
      <c r="F97" s="23">
        <f t="shared" si="37"/>
        <v>0.86111111111111105</v>
      </c>
      <c r="G97" s="56">
        <f t="shared" si="37"/>
        <v>1.1764705882352944</v>
      </c>
      <c r="H97" s="23">
        <f t="shared" si="37"/>
        <v>0.83333333333333337</v>
      </c>
      <c r="I97" s="25">
        <f t="shared" si="37"/>
        <v>0.74999999999999989</v>
      </c>
      <c r="J97" s="24">
        <f t="shared" si="37"/>
        <v>1.1555555555555557</v>
      </c>
      <c r="K97" s="23">
        <f t="shared" si="37"/>
        <v>1.096774193548387</v>
      </c>
      <c r="L97" s="56">
        <f t="shared" si="37"/>
        <v>1</v>
      </c>
      <c r="M97" s="23">
        <f t="shared" si="37"/>
        <v>1.0833333333333333</v>
      </c>
      <c r="N97" s="23">
        <f t="shared" si="37"/>
        <v>0.84999999999999987</v>
      </c>
      <c r="O97" s="23">
        <f t="shared" si="37"/>
        <v>1.0909090909090908</v>
      </c>
      <c r="P97" s="23">
        <f t="shared" si="37"/>
        <v>0.97499999999999987</v>
      </c>
      <c r="Q97" s="25">
        <f t="shared" si="37"/>
        <v>1.1714285714285713</v>
      </c>
      <c r="R97" s="6"/>
    </row>
    <row r="98" spans="1:18">
      <c r="A98" s="14">
        <f t="shared" si="27"/>
        <v>5</v>
      </c>
      <c r="B98" s="24">
        <f t="shared" ref="B98:Q98" si="38">B66/B$56</f>
        <v>1</v>
      </c>
      <c r="C98" s="23">
        <f t="shared" si="38"/>
        <v>0.97499999999999987</v>
      </c>
      <c r="D98" s="23">
        <f t="shared" si="38"/>
        <v>0.97619047619047605</v>
      </c>
      <c r="E98" s="23">
        <f t="shared" si="38"/>
        <v>1.0487804878048781</v>
      </c>
      <c r="F98" s="23">
        <f t="shared" si="38"/>
        <v>0.91666666666666674</v>
      </c>
      <c r="G98" s="56">
        <f t="shared" si="38"/>
        <v>1.2352941176470591</v>
      </c>
      <c r="H98" s="23">
        <f t="shared" si="38"/>
        <v>0.9</v>
      </c>
      <c r="I98" s="25">
        <f t="shared" si="38"/>
        <v>0.8214285714285714</v>
      </c>
      <c r="J98" s="24">
        <f t="shared" si="38"/>
        <v>1.2</v>
      </c>
      <c r="K98" s="23">
        <f t="shared" si="38"/>
        <v>1.1612903225806452</v>
      </c>
      <c r="L98" s="56">
        <f t="shared" si="38"/>
        <v>1</v>
      </c>
      <c r="M98" s="23">
        <f t="shared" si="38"/>
        <v>1.125</v>
      </c>
      <c r="N98" s="23">
        <f t="shared" si="38"/>
        <v>0.875</v>
      </c>
      <c r="O98" s="23">
        <f t="shared" si="38"/>
        <v>1</v>
      </c>
      <c r="P98" s="23">
        <f t="shared" si="38"/>
        <v>1.075</v>
      </c>
      <c r="Q98" s="25">
        <f t="shared" si="38"/>
        <v>1.1428571428571428</v>
      </c>
      <c r="R98" s="6"/>
    </row>
    <row r="99" spans="1:18">
      <c r="A99" s="14">
        <f t="shared" si="27"/>
        <v>5.4285714285714288</v>
      </c>
      <c r="B99" s="24">
        <f t="shared" ref="B99:C99" si="39">B67/B$56</f>
        <v>1</v>
      </c>
      <c r="C99" s="23">
        <f t="shared" si="39"/>
        <v>1</v>
      </c>
      <c r="D99" s="23">
        <f t="shared" ref="D99:G99" si="40">D67/D$56</f>
        <v>0.97619047619047605</v>
      </c>
      <c r="E99" s="23">
        <f t="shared" si="40"/>
        <v>1.0975609756097562</v>
      </c>
      <c r="F99" s="23">
        <f t="shared" si="40"/>
        <v>1</v>
      </c>
      <c r="G99" s="56">
        <f t="shared" si="40"/>
        <v>1.2352941176470591</v>
      </c>
      <c r="H99" s="23">
        <f t="shared" ref="H99:H108" si="41">H67/H$56</f>
        <v>0.86666666666666659</v>
      </c>
      <c r="I99" s="25">
        <f t="shared" ref="I99:K99" si="42">I67/I$56</f>
        <v>0.8214285714285714</v>
      </c>
      <c r="J99" s="24">
        <f t="shared" si="42"/>
        <v>1.2666666666666666</v>
      </c>
      <c r="K99" s="23">
        <f t="shared" si="42"/>
        <v>1.2903225806451615</v>
      </c>
      <c r="L99" s="56">
        <f t="shared" ref="L99:P99" si="43">L67/L$56</f>
        <v>1</v>
      </c>
      <c r="M99" s="23">
        <f t="shared" si="43"/>
        <v>1.2777777777777779</v>
      </c>
      <c r="N99" s="23">
        <f t="shared" si="43"/>
        <v>1</v>
      </c>
      <c r="O99" s="23">
        <f t="shared" si="43"/>
        <v>1</v>
      </c>
      <c r="P99" s="23">
        <f t="shared" si="43"/>
        <v>1.2249999999999999</v>
      </c>
      <c r="Q99" s="25">
        <f>Q67/Q$56</f>
        <v>1.3714285714285714</v>
      </c>
      <c r="R99" s="6"/>
    </row>
    <row r="100" spans="1:18">
      <c r="A100" s="14">
        <f t="shared" si="27"/>
        <v>5.8571428571428568</v>
      </c>
      <c r="B100" s="24">
        <f t="shared" ref="B100:G100" si="44">B68/B$56</f>
        <v>1.037037037037037</v>
      </c>
      <c r="C100" s="23">
        <f t="shared" si="44"/>
        <v>1.05</v>
      </c>
      <c r="D100" s="23">
        <f t="shared" si="44"/>
        <v>1.1190476190476191</v>
      </c>
      <c r="E100" s="23">
        <f t="shared" si="44"/>
        <v>1.024390243902439</v>
      </c>
      <c r="F100" s="23">
        <f t="shared" si="44"/>
        <v>0.97222222222222232</v>
      </c>
      <c r="G100" s="56">
        <f t="shared" si="44"/>
        <v>1.3823529411764708</v>
      </c>
      <c r="H100" s="23">
        <f t="shared" si="41"/>
        <v>0.93333333333333324</v>
      </c>
      <c r="I100" s="25">
        <f t="shared" ref="I100:P101" si="45">I68/I$56</f>
        <v>0.8214285714285714</v>
      </c>
      <c r="J100" s="24">
        <f t="shared" si="45"/>
        <v>1.2888888888888888</v>
      </c>
      <c r="K100" s="23">
        <f t="shared" si="45"/>
        <v>1.3870967741935485</v>
      </c>
      <c r="L100" s="56">
        <f t="shared" si="45"/>
        <v>1</v>
      </c>
      <c r="M100" s="23">
        <f t="shared" si="45"/>
        <v>1.4722222222222223</v>
      </c>
      <c r="N100" s="23">
        <f t="shared" si="45"/>
        <v>1.45</v>
      </c>
      <c r="O100" s="23">
        <f t="shared" si="45"/>
        <v>1.2121212121212122</v>
      </c>
      <c r="P100" s="23">
        <f t="shared" si="45"/>
        <v>1.3</v>
      </c>
      <c r="Q100" s="25">
        <f>Q68/Q$56</f>
        <v>1.4571428571428571</v>
      </c>
      <c r="R100" s="57"/>
    </row>
    <row r="101" spans="1:18">
      <c r="A101" s="14">
        <f t="shared" si="27"/>
        <v>6.5714285714285712</v>
      </c>
      <c r="B101" s="24">
        <f t="shared" ref="B101:G108" si="46">B69/B$56</f>
        <v>1.1111111111111109</v>
      </c>
      <c r="C101" s="23">
        <f t="shared" si="46"/>
        <v>1.05</v>
      </c>
      <c r="D101" s="23">
        <f t="shared" si="46"/>
        <v>1</v>
      </c>
      <c r="E101" s="23">
        <f t="shared" si="46"/>
        <v>1.0487804878048781</v>
      </c>
      <c r="F101" s="23">
        <f t="shared" si="46"/>
        <v>0.91666666666666674</v>
      </c>
      <c r="G101" s="56">
        <f t="shared" si="46"/>
        <v>1.3823529411764708</v>
      </c>
      <c r="H101" s="23">
        <f t="shared" si="41"/>
        <v>0.96666666666666679</v>
      </c>
      <c r="I101" s="25">
        <f t="shared" si="45"/>
        <v>0.92857142857142849</v>
      </c>
      <c r="J101" s="24">
        <f t="shared" si="45"/>
        <v>1.1333333333333333</v>
      </c>
      <c r="K101" s="23">
        <f t="shared" si="45"/>
        <v>1.096774193548387</v>
      </c>
      <c r="L101" s="56">
        <f t="shared" si="45"/>
        <v>1</v>
      </c>
      <c r="M101" s="23">
        <f t="shared" si="45"/>
        <v>1.1388888888888888</v>
      </c>
      <c r="N101" s="23">
        <f t="shared" si="45"/>
        <v>0.95</v>
      </c>
      <c r="O101" s="23">
        <f t="shared" si="45"/>
        <v>1.0909090909090908</v>
      </c>
      <c r="P101" s="23">
        <f t="shared" si="45"/>
        <v>1.075</v>
      </c>
      <c r="Q101" s="25">
        <f>Q69/Q$56</f>
        <v>1.2285714285714284</v>
      </c>
      <c r="R101" s="57"/>
    </row>
    <row r="102" spans="1:18">
      <c r="A102" s="14">
        <f t="shared" si="27"/>
        <v>7</v>
      </c>
      <c r="B102" s="24">
        <f t="shared" si="46"/>
        <v>1.2592592592592591</v>
      </c>
      <c r="C102" s="23">
        <f t="shared" si="46"/>
        <v>1.0999999999999999</v>
      </c>
      <c r="D102" s="23">
        <f t="shared" si="46"/>
        <v>1.0714285714285714</v>
      </c>
      <c r="E102" s="23">
        <f t="shared" si="46"/>
        <v>1.1463414634146343</v>
      </c>
      <c r="F102" s="23">
        <f t="shared" si="46"/>
        <v>1.1111111111111112</v>
      </c>
      <c r="G102" s="56">
        <f t="shared" si="46"/>
        <v>1.7647058823529413</v>
      </c>
      <c r="H102" s="23">
        <f t="shared" si="41"/>
        <v>1.0333333333333332</v>
      </c>
      <c r="I102" s="25">
        <f t="shared" ref="I102:I108" si="47">I70/I$56</f>
        <v>0.85714285714285732</v>
      </c>
      <c r="J102" s="24">
        <f t="shared" ref="J102:Q102" si="48">J70/J$56</f>
        <v>1.1777777777777778</v>
      </c>
      <c r="K102" s="23">
        <f t="shared" si="48"/>
        <v>1.1290322580645162</v>
      </c>
      <c r="L102" s="56">
        <f t="shared" si="48"/>
        <v>1</v>
      </c>
      <c r="M102" s="23">
        <f t="shared" si="48"/>
        <v>1.1111111111111112</v>
      </c>
      <c r="N102" s="23">
        <f t="shared" si="48"/>
        <v>0.95</v>
      </c>
      <c r="O102" s="23">
        <f t="shared" si="48"/>
        <v>1.1818181818181817</v>
      </c>
      <c r="P102" s="23">
        <f t="shared" si="48"/>
        <v>1.0249999999999999</v>
      </c>
      <c r="Q102" s="25">
        <f t="shared" si="48"/>
        <v>1.2</v>
      </c>
      <c r="R102" s="57"/>
    </row>
    <row r="103" spans="1:18">
      <c r="A103" s="14">
        <f t="shared" si="27"/>
        <v>7.5714285714285712</v>
      </c>
      <c r="B103" s="24">
        <f t="shared" si="46"/>
        <v>1.1851851851851851</v>
      </c>
      <c r="C103" s="23">
        <f t="shared" si="46"/>
        <v>1.05</v>
      </c>
      <c r="D103" s="23">
        <f t="shared" si="46"/>
        <v>1.0952380952380951</v>
      </c>
      <c r="E103" s="23">
        <f t="shared" si="46"/>
        <v>1.2439024390243902</v>
      </c>
      <c r="F103" s="23">
        <f t="shared" si="46"/>
        <v>1.0277777777777779</v>
      </c>
      <c r="G103" s="56">
        <f t="shared" si="46"/>
        <v>1.6470588235294119</v>
      </c>
      <c r="H103" s="23">
        <f t="shared" si="41"/>
        <v>1</v>
      </c>
      <c r="I103" s="25">
        <f t="shared" si="47"/>
        <v>0.8928571428571429</v>
      </c>
      <c r="J103" s="24">
        <f t="shared" ref="J103:Q108" si="49">J71/J$56</f>
        <v>1.2444444444444445</v>
      </c>
      <c r="K103" s="23">
        <f t="shared" si="49"/>
        <v>1.3225806451612903</v>
      </c>
      <c r="L103" s="56">
        <f t="shared" si="49"/>
        <v>1</v>
      </c>
      <c r="M103" s="23">
        <f t="shared" si="49"/>
        <v>1.3055555555555558</v>
      </c>
      <c r="N103" s="23">
        <f t="shared" si="49"/>
        <v>0.97499999999999987</v>
      </c>
      <c r="O103" s="23">
        <f t="shared" si="49"/>
        <v>1.1212121212121213</v>
      </c>
      <c r="P103" s="23">
        <f t="shared" si="49"/>
        <v>1.175</v>
      </c>
      <c r="Q103" s="25">
        <f t="shared" si="49"/>
        <v>1.3714285714285714</v>
      </c>
      <c r="R103" s="57"/>
    </row>
    <row r="104" spans="1:18">
      <c r="A104" s="14">
        <f t="shared" si="27"/>
        <v>8.2857142857142865</v>
      </c>
      <c r="B104" s="24">
        <f t="shared" si="46"/>
        <v>1.0740740740740742</v>
      </c>
      <c r="C104" s="23">
        <f t="shared" si="46"/>
        <v>1.1499999999999999</v>
      </c>
      <c r="D104" s="23">
        <f t="shared" si="46"/>
        <v>1.1333333333333333</v>
      </c>
      <c r="E104" s="23">
        <f t="shared" si="46"/>
        <v>1.229268292682927</v>
      </c>
      <c r="F104" s="23">
        <f t="shared" si="46"/>
        <v>1.1277777777777778</v>
      </c>
      <c r="G104" s="56">
        <f t="shared" si="46"/>
        <v>1.6470588235294119</v>
      </c>
      <c r="H104" s="23">
        <f t="shared" si="41"/>
        <v>1.0333333333333332</v>
      </c>
      <c r="I104" s="25">
        <f t="shared" si="47"/>
        <v>0.87500000000000011</v>
      </c>
      <c r="J104" s="24">
        <f t="shared" si="49"/>
        <v>1.2666666666666666</v>
      </c>
      <c r="K104" s="23">
        <f t="shared" si="49"/>
        <v>1.3548387096774195</v>
      </c>
      <c r="L104" s="56">
        <f t="shared" si="49"/>
        <v>1</v>
      </c>
      <c r="M104" s="23">
        <f t="shared" si="49"/>
        <v>1.2916666666666667</v>
      </c>
      <c r="N104" s="23">
        <f t="shared" si="49"/>
        <v>0.95</v>
      </c>
      <c r="O104" s="23">
        <f t="shared" si="49"/>
        <v>1.1515151515151516</v>
      </c>
      <c r="P104" s="23">
        <f t="shared" si="49"/>
        <v>1.175</v>
      </c>
      <c r="Q104" s="25">
        <f t="shared" si="49"/>
        <v>1.4742857142857144</v>
      </c>
      <c r="R104" s="6"/>
    </row>
    <row r="105" spans="1:18">
      <c r="A105" s="14">
        <f t="shared" si="27"/>
        <v>9</v>
      </c>
      <c r="B105" s="24">
        <f t="shared" si="46"/>
        <v>1.1111111111111109</v>
      </c>
      <c r="C105" s="23">
        <f t="shared" si="46"/>
        <v>1.2</v>
      </c>
      <c r="D105" s="23">
        <f t="shared" si="46"/>
        <v>1.1428571428571428</v>
      </c>
      <c r="E105" s="23">
        <f t="shared" si="46"/>
        <v>1.3170731707317074</v>
      </c>
      <c r="F105" s="23">
        <f t="shared" si="46"/>
        <v>1.1666666666666667</v>
      </c>
      <c r="G105" s="56">
        <f t="shared" si="46"/>
        <v>2.0000000000000004</v>
      </c>
      <c r="H105" s="23">
        <f t="shared" si="41"/>
        <v>1</v>
      </c>
      <c r="I105" s="25">
        <f t="shared" si="47"/>
        <v>1.0357142857142858</v>
      </c>
      <c r="J105" s="24">
        <f t="shared" si="49"/>
        <v>1.2444444444444445</v>
      </c>
      <c r="K105" s="23">
        <f t="shared" si="49"/>
        <v>1.2903225806451615</v>
      </c>
      <c r="L105" s="56">
        <f t="shared" si="49"/>
        <v>1</v>
      </c>
      <c r="M105" s="23">
        <f t="shared" si="49"/>
        <v>1.2222222222222221</v>
      </c>
      <c r="N105" s="23">
        <f t="shared" si="49"/>
        <v>1.0249999999999999</v>
      </c>
      <c r="O105" s="23">
        <f t="shared" si="49"/>
        <v>1.2121212121212122</v>
      </c>
      <c r="P105" s="23">
        <f t="shared" si="49"/>
        <v>1.1499999999999999</v>
      </c>
      <c r="Q105" s="25">
        <f t="shared" si="49"/>
        <v>1.4</v>
      </c>
      <c r="R105" s="65"/>
    </row>
    <row r="106" spans="1:18">
      <c r="A106" s="14">
        <f t="shared" si="27"/>
        <v>9.4285714285714288</v>
      </c>
      <c r="B106" s="24">
        <f t="shared" si="46"/>
        <v>1.1481481481481479</v>
      </c>
      <c r="C106" s="23">
        <f t="shared" si="46"/>
        <v>1.125</v>
      </c>
      <c r="D106" s="23">
        <f t="shared" si="46"/>
        <v>1.1190476190476191</v>
      </c>
      <c r="E106" s="23">
        <f t="shared" si="46"/>
        <v>1.2926829268292683</v>
      </c>
      <c r="F106" s="23">
        <f t="shared" si="46"/>
        <v>1.1666666666666667</v>
      </c>
      <c r="G106" s="56">
        <f t="shared" si="46"/>
        <v>1.8823529411764708</v>
      </c>
      <c r="H106" s="23">
        <f t="shared" si="41"/>
        <v>1</v>
      </c>
      <c r="I106" s="25">
        <f t="shared" si="47"/>
        <v>0.92857142857142849</v>
      </c>
      <c r="J106" s="24">
        <f t="shared" si="49"/>
        <v>1.4222222222222221</v>
      </c>
      <c r="K106" s="23">
        <f t="shared" si="49"/>
        <v>1.5483870967741937</v>
      </c>
      <c r="L106" s="56">
        <f t="shared" si="49"/>
        <v>1</v>
      </c>
      <c r="M106" s="23">
        <f t="shared" si="49"/>
        <v>1.4166666666666667</v>
      </c>
      <c r="N106" s="23">
        <f t="shared" si="49"/>
        <v>1.0999999999999999</v>
      </c>
      <c r="O106" s="23">
        <f t="shared" si="49"/>
        <v>1.5757575757575759</v>
      </c>
      <c r="P106" s="23">
        <f t="shared" si="49"/>
        <v>1.325</v>
      </c>
      <c r="Q106" s="25">
        <f t="shared" si="49"/>
        <v>1.657142857142857</v>
      </c>
      <c r="R106" s="65"/>
    </row>
    <row r="107" spans="1:18">
      <c r="A107" s="14">
        <f t="shared" si="27"/>
        <v>10</v>
      </c>
      <c r="B107" s="24">
        <f t="shared" si="46"/>
        <v>1.2222222222222221</v>
      </c>
      <c r="C107" s="23">
        <f t="shared" si="46"/>
        <v>1.1499999999999999</v>
      </c>
      <c r="D107" s="23">
        <f t="shared" si="46"/>
        <v>1.1666666666666665</v>
      </c>
      <c r="E107" s="23">
        <f t="shared" si="46"/>
        <v>1.3658536585365855</v>
      </c>
      <c r="F107" s="23">
        <f t="shared" si="46"/>
        <v>1.2222222222222221</v>
      </c>
      <c r="G107" s="56">
        <f t="shared" si="46"/>
        <v>1.970588235294118</v>
      </c>
      <c r="H107" s="23">
        <f t="shared" si="41"/>
        <v>1</v>
      </c>
      <c r="I107" s="25">
        <f t="shared" si="47"/>
        <v>1.0714285714285714</v>
      </c>
      <c r="J107" s="24">
        <f t="shared" si="49"/>
        <v>1.4577777777777776</v>
      </c>
      <c r="K107" s="23">
        <f t="shared" si="49"/>
        <v>1.6290322580645162</v>
      </c>
      <c r="L107" s="56">
        <f t="shared" si="49"/>
        <v>1</v>
      </c>
      <c r="M107" s="23">
        <f t="shared" si="49"/>
        <v>1.5</v>
      </c>
      <c r="N107" s="23">
        <f t="shared" si="49"/>
        <v>1.25</v>
      </c>
      <c r="O107" s="23">
        <f t="shared" si="49"/>
        <v>1.3939393939393938</v>
      </c>
      <c r="P107" s="23">
        <f t="shared" si="49"/>
        <v>1.4749999999999999</v>
      </c>
      <c r="Q107" s="25">
        <f t="shared" si="49"/>
        <v>1.8285714285714285</v>
      </c>
      <c r="R107" s="66"/>
    </row>
    <row r="108" spans="1:18">
      <c r="A108" s="14">
        <f t="shared" si="27"/>
        <v>10.428571428571429</v>
      </c>
      <c r="B108" s="24">
        <f t="shared" si="46"/>
        <v>1.2222222222222221</v>
      </c>
      <c r="C108" s="23">
        <f t="shared" si="46"/>
        <v>1.2249999999999999</v>
      </c>
      <c r="D108" s="23">
        <f t="shared" si="46"/>
        <v>1.1428571428571428</v>
      </c>
      <c r="E108" s="23">
        <f t="shared" si="46"/>
        <v>1.4390243902439024</v>
      </c>
      <c r="F108" s="23">
        <f t="shared" si="46"/>
        <v>1.2222222222222221</v>
      </c>
      <c r="G108" s="56">
        <f t="shared" si="46"/>
        <v>2.0882352941176472</v>
      </c>
      <c r="H108" s="23">
        <f t="shared" si="41"/>
        <v>1.0666666666666667</v>
      </c>
      <c r="I108" s="25">
        <f t="shared" si="47"/>
        <v>1.3571428571428572</v>
      </c>
      <c r="J108" s="24">
        <f t="shared" si="49"/>
        <v>1.3777777777777778</v>
      </c>
      <c r="K108" s="23">
        <f t="shared" si="49"/>
        <v>1.4838709677419355</v>
      </c>
      <c r="L108" s="56">
        <f t="shared" si="49"/>
        <v>1</v>
      </c>
      <c r="M108" s="23">
        <f t="shared" si="49"/>
        <v>1.3888888888888891</v>
      </c>
      <c r="N108" s="23">
        <f t="shared" si="49"/>
        <v>1.1499999999999999</v>
      </c>
      <c r="O108" s="23">
        <f t="shared" si="49"/>
        <v>1.0606060606060606</v>
      </c>
      <c r="P108" s="23">
        <f t="shared" si="49"/>
        <v>1.4</v>
      </c>
      <c r="Q108" s="25">
        <f t="shared" si="49"/>
        <v>1.6857142857142855</v>
      </c>
      <c r="R108" s="66"/>
    </row>
    <row r="109" spans="1:18">
      <c r="A109" s="46"/>
      <c r="B109" s="24"/>
      <c r="C109" s="23"/>
      <c r="D109" s="23"/>
      <c r="E109" s="23"/>
      <c r="F109" s="23"/>
      <c r="G109" s="23"/>
      <c r="H109" s="23"/>
      <c r="I109" s="25"/>
      <c r="J109" s="23"/>
      <c r="K109" s="23"/>
      <c r="L109" s="23"/>
      <c r="M109" s="23"/>
      <c r="N109" s="23"/>
      <c r="O109" s="23"/>
      <c r="P109" s="23"/>
      <c r="Q109" s="25"/>
      <c r="R109" s="66"/>
    </row>
    <row r="110" spans="1:18">
      <c r="A110" s="14"/>
      <c r="B110" s="24"/>
      <c r="C110" s="23"/>
      <c r="D110" s="23"/>
      <c r="E110" s="23"/>
      <c r="F110" s="23"/>
      <c r="G110" s="23"/>
      <c r="H110" s="23"/>
      <c r="I110" s="25"/>
      <c r="J110" s="24"/>
      <c r="K110" s="23"/>
      <c r="L110" s="23"/>
      <c r="M110" s="23"/>
      <c r="N110" s="23"/>
      <c r="O110" s="23"/>
      <c r="P110" s="23"/>
      <c r="Q110" s="25"/>
      <c r="R110" s="65"/>
    </row>
    <row r="111" spans="1:18" ht="19" thickBot="1">
      <c r="A111" s="6"/>
      <c r="B111" s="3"/>
      <c r="C111" s="4"/>
      <c r="D111" s="4"/>
      <c r="E111" s="4"/>
      <c r="F111" s="4"/>
      <c r="G111" s="67"/>
      <c r="H111" s="67"/>
      <c r="I111" s="68"/>
      <c r="J111" s="69"/>
      <c r="K111" s="67"/>
      <c r="L111" s="67"/>
      <c r="M111" s="67"/>
      <c r="N111" s="67"/>
      <c r="O111" s="4"/>
      <c r="P111" s="4"/>
      <c r="Q111" s="32"/>
      <c r="R111" s="6"/>
    </row>
    <row r="112" spans="1:18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9" thickBo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9" thickBot="1">
      <c r="A115" s="7" t="s">
        <v>8</v>
      </c>
      <c r="B115" s="72" t="s">
        <v>10</v>
      </c>
      <c r="C115" s="73"/>
      <c r="D115" s="73"/>
      <c r="E115" s="73"/>
      <c r="F115" s="73"/>
      <c r="G115" s="73"/>
      <c r="H115" s="73"/>
      <c r="I115" s="74"/>
      <c r="J115" s="72">
        <v>239</v>
      </c>
      <c r="K115" s="73"/>
      <c r="L115" s="73"/>
      <c r="M115" s="73"/>
      <c r="N115" s="73"/>
      <c r="O115" s="73"/>
      <c r="P115" s="73"/>
      <c r="Q115" s="74"/>
      <c r="R115" s="6"/>
    </row>
    <row r="116" spans="1:18" ht="19" thickBot="1">
      <c r="A116" s="7"/>
      <c r="B116" s="72" t="s">
        <v>17</v>
      </c>
      <c r="C116" s="73"/>
      <c r="D116" s="73"/>
      <c r="E116" s="73"/>
      <c r="F116" s="73"/>
      <c r="G116" s="73"/>
      <c r="H116" s="73"/>
      <c r="I116" s="74"/>
      <c r="J116" s="72" t="s">
        <v>18</v>
      </c>
      <c r="K116" s="73"/>
      <c r="L116" s="73"/>
      <c r="M116" s="73"/>
      <c r="N116" s="73"/>
      <c r="O116" s="73"/>
      <c r="P116" s="73"/>
      <c r="Q116" s="74"/>
      <c r="R116" s="6"/>
    </row>
    <row r="117" spans="1:18" ht="19">
      <c r="A117" s="8"/>
      <c r="B117" s="75">
        <v>14</v>
      </c>
      <c r="C117" s="76"/>
      <c r="D117" s="77">
        <v>15</v>
      </c>
      <c r="E117" s="77"/>
      <c r="F117" s="77">
        <v>16</v>
      </c>
      <c r="G117" s="77"/>
      <c r="H117" s="77">
        <v>17</v>
      </c>
      <c r="I117" s="78"/>
      <c r="J117" s="79">
        <v>839</v>
      </c>
      <c r="K117" s="80"/>
      <c r="L117" s="81">
        <v>840</v>
      </c>
      <c r="M117" s="80"/>
      <c r="N117" s="81">
        <v>1</v>
      </c>
      <c r="O117" s="80"/>
      <c r="P117" s="81">
        <v>2</v>
      </c>
      <c r="Q117" s="82"/>
      <c r="R117" s="6"/>
    </row>
    <row r="118" spans="1:18" ht="20" thickBot="1">
      <c r="A118" s="8"/>
      <c r="B118" s="26" t="s">
        <v>1</v>
      </c>
      <c r="C118" s="9" t="s">
        <v>2</v>
      </c>
      <c r="D118" s="9" t="s">
        <v>1</v>
      </c>
      <c r="E118" s="9" t="s">
        <v>2</v>
      </c>
      <c r="F118" s="9" t="s">
        <v>1</v>
      </c>
      <c r="G118" s="9" t="s">
        <v>2</v>
      </c>
      <c r="H118" s="9" t="s">
        <v>1</v>
      </c>
      <c r="I118" s="10" t="s">
        <v>2</v>
      </c>
      <c r="J118" s="11" t="s">
        <v>1</v>
      </c>
      <c r="K118" s="12" t="s">
        <v>2</v>
      </c>
      <c r="L118" s="12" t="s">
        <v>1</v>
      </c>
      <c r="M118" s="12" t="s">
        <v>2</v>
      </c>
      <c r="N118" s="12" t="s">
        <v>1</v>
      </c>
      <c r="O118" s="12" t="s">
        <v>2</v>
      </c>
      <c r="P118" s="12" t="s">
        <v>1</v>
      </c>
      <c r="Q118" s="13" t="s">
        <v>2</v>
      </c>
      <c r="R118" s="6"/>
    </row>
    <row r="119" spans="1:18">
      <c r="A119" s="14">
        <f t="shared" ref="A119:A139" si="50">A56/7</f>
        <v>0</v>
      </c>
      <c r="B119" s="28">
        <f>(B88^3)*100</f>
        <v>100</v>
      </c>
      <c r="C119" s="27">
        <f t="shared" ref="B119:C125" si="51">(C88^3)*100</f>
        <v>100</v>
      </c>
      <c r="D119" s="27">
        <f t="shared" ref="D119:Q119" si="52">(D88^3)*100</f>
        <v>100</v>
      </c>
      <c r="E119" s="27">
        <f t="shared" si="52"/>
        <v>100</v>
      </c>
      <c r="F119" s="27">
        <f t="shared" si="52"/>
        <v>100</v>
      </c>
      <c r="G119" s="27">
        <f t="shared" si="52"/>
        <v>100</v>
      </c>
      <c r="H119" s="27">
        <f t="shared" si="52"/>
        <v>100</v>
      </c>
      <c r="I119" s="29">
        <f t="shared" si="52"/>
        <v>100</v>
      </c>
      <c r="J119" s="28">
        <f t="shared" si="52"/>
        <v>100</v>
      </c>
      <c r="K119" s="27">
        <f t="shared" si="52"/>
        <v>100</v>
      </c>
      <c r="L119" s="27">
        <f t="shared" si="52"/>
        <v>100</v>
      </c>
      <c r="M119" s="27">
        <f t="shared" si="52"/>
        <v>100</v>
      </c>
      <c r="N119" s="27">
        <f t="shared" si="52"/>
        <v>100</v>
      </c>
      <c r="O119" s="27">
        <f t="shared" si="52"/>
        <v>100</v>
      </c>
      <c r="P119" s="27">
        <f t="shared" si="52"/>
        <v>100</v>
      </c>
      <c r="Q119" s="29">
        <f t="shared" si="52"/>
        <v>100</v>
      </c>
      <c r="R119" s="6"/>
    </row>
    <row r="120" spans="1:18">
      <c r="A120" s="14">
        <f t="shared" si="50"/>
        <v>0.42857142857142855</v>
      </c>
      <c r="B120" s="28">
        <f t="shared" si="51"/>
        <v>47.050754458161833</v>
      </c>
      <c r="C120" s="27">
        <f t="shared" si="51"/>
        <v>46.548437499999984</v>
      </c>
      <c r="D120" s="27">
        <f t="shared" ref="D120:Q125" si="53">(D89^3)*100</f>
        <v>48.50583090379007</v>
      </c>
      <c r="E120" s="27">
        <f t="shared" si="53"/>
        <v>39.175287648176912</v>
      </c>
      <c r="F120" s="27">
        <f t="shared" si="53"/>
        <v>10.530264060356656</v>
      </c>
      <c r="G120" s="27">
        <f t="shared" si="53"/>
        <v>44.718094850396916</v>
      </c>
      <c r="H120" s="27">
        <f t="shared" si="53"/>
        <v>45.062962962962956</v>
      </c>
      <c r="I120" s="29">
        <f t="shared" si="53"/>
        <v>62.973760932944643</v>
      </c>
      <c r="J120" s="28">
        <f t="shared" si="53"/>
        <v>47.050754458161869</v>
      </c>
      <c r="K120" s="27">
        <f t="shared" si="53"/>
        <v>66.070289684804166</v>
      </c>
      <c r="L120" s="27">
        <f t="shared" si="53"/>
        <v>100</v>
      </c>
      <c r="M120" s="27">
        <f t="shared" si="53"/>
        <v>37.67146776406036</v>
      </c>
      <c r="N120" s="27">
        <f t="shared" si="53"/>
        <v>27.462499999999991</v>
      </c>
      <c r="O120" s="27">
        <f t="shared" si="53"/>
        <v>43.478865792915379</v>
      </c>
      <c r="P120" s="27">
        <f t="shared" si="53"/>
        <v>38.107812500000016</v>
      </c>
      <c r="Q120" s="29">
        <f t="shared" si="53"/>
        <v>40.993586005830892</v>
      </c>
      <c r="R120" s="6"/>
    </row>
    <row r="121" spans="1:18">
      <c r="A121" s="14">
        <f t="shared" si="50"/>
        <v>0.8571428571428571</v>
      </c>
      <c r="B121" s="28">
        <f t="shared" si="51"/>
        <v>34.847330183407003</v>
      </c>
      <c r="C121" s="27">
        <f t="shared" si="51"/>
        <v>42.1875</v>
      </c>
      <c r="D121" s="27">
        <f t="shared" si="53"/>
        <v>32.918961235287782</v>
      </c>
      <c r="E121" s="27">
        <f t="shared" si="53"/>
        <v>39.175287648176912</v>
      </c>
      <c r="F121" s="27">
        <f t="shared" si="53"/>
        <v>33.48979766803842</v>
      </c>
      <c r="G121" s="27">
        <f t="shared" si="53"/>
        <v>35.171992672501567</v>
      </c>
      <c r="H121" s="27">
        <f t="shared" si="53"/>
        <v>34.299999999999976</v>
      </c>
      <c r="I121" s="29">
        <f t="shared" si="53"/>
        <v>48.505830903790113</v>
      </c>
      <c r="J121" s="28">
        <f t="shared" si="53"/>
        <v>35.959396433470509</v>
      </c>
      <c r="K121" s="27">
        <f t="shared" si="53"/>
        <v>46.403276157228731</v>
      </c>
      <c r="L121" s="27">
        <f t="shared" si="53"/>
        <v>100</v>
      </c>
      <c r="M121" s="27">
        <f t="shared" si="53"/>
        <v>29.629629629629655</v>
      </c>
      <c r="N121" s="27">
        <f t="shared" si="53"/>
        <v>27.462499999999991</v>
      </c>
      <c r="O121" s="27">
        <f t="shared" si="53"/>
        <v>25.770097670924102</v>
      </c>
      <c r="P121" s="27">
        <f t="shared" si="53"/>
        <v>21.600000000000009</v>
      </c>
      <c r="Q121" s="29">
        <f t="shared" si="53"/>
        <v>28.377842565597668</v>
      </c>
      <c r="R121" s="6"/>
    </row>
    <row r="122" spans="1:18">
      <c r="A122" s="14">
        <f t="shared" si="50"/>
        <v>1.4285714285714286</v>
      </c>
      <c r="B122" s="28">
        <f t="shared" si="51"/>
        <v>61.814764009551368</v>
      </c>
      <c r="C122" s="27">
        <f t="shared" si="51"/>
        <v>46.548437499999984</v>
      </c>
      <c r="D122" s="27">
        <f t="shared" si="53"/>
        <v>32.918961235287782</v>
      </c>
      <c r="E122" s="27">
        <f t="shared" si="53"/>
        <v>30.174946678080705</v>
      </c>
      <c r="F122" s="27">
        <f t="shared" si="53"/>
        <v>26.078103566529503</v>
      </c>
      <c r="G122" s="27">
        <f t="shared" si="53"/>
        <v>37.416357113779803</v>
      </c>
      <c r="H122" s="27">
        <f t="shared" si="53"/>
        <v>27.462500000000006</v>
      </c>
      <c r="I122" s="29">
        <f t="shared" si="53"/>
        <v>80.065597667638471</v>
      </c>
      <c r="J122" s="28">
        <f t="shared" si="53"/>
        <v>65.096296296296273</v>
      </c>
      <c r="K122" s="27">
        <f t="shared" si="53"/>
        <v>58.997683864254313</v>
      </c>
      <c r="L122" s="27">
        <f t="shared" si="53"/>
        <v>100</v>
      </c>
      <c r="M122" s="27">
        <f t="shared" si="53"/>
        <v>63.852451989026051</v>
      </c>
      <c r="N122" s="27">
        <f t="shared" si="53"/>
        <v>27.462499999999991</v>
      </c>
      <c r="O122" s="27">
        <f t="shared" si="53"/>
        <v>75.131480090157794</v>
      </c>
      <c r="P122" s="27">
        <f t="shared" si="53"/>
        <v>30.754687500000006</v>
      </c>
      <c r="Q122" s="29">
        <f t="shared" si="53"/>
        <v>62.9737609329446</v>
      </c>
      <c r="R122" s="6"/>
    </row>
    <row r="123" spans="1:18">
      <c r="A123" s="14">
        <f t="shared" si="50"/>
        <v>2</v>
      </c>
      <c r="B123" s="28">
        <f t="shared" si="51"/>
        <v>40.64421074023268</v>
      </c>
      <c r="C123" s="27">
        <f t="shared" si="51"/>
        <v>51.20000000000001</v>
      </c>
      <c r="D123" s="27">
        <f t="shared" si="53"/>
        <v>48.50583090379007</v>
      </c>
      <c r="E123" s="27">
        <f t="shared" si="53"/>
        <v>31.850959794547389</v>
      </c>
      <c r="F123" s="27">
        <f t="shared" si="53"/>
        <v>10.530264060356656</v>
      </c>
      <c r="G123" s="27">
        <f t="shared" si="53"/>
        <v>44.718094850396916</v>
      </c>
      <c r="H123" s="27">
        <f t="shared" si="53"/>
        <v>18.196296296296293</v>
      </c>
      <c r="I123" s="29">
        <f t="shared" si="53"/>
        <v>7.8717201166180777</v>
      </c>
      <c r="J123" s="28">
        <f t="shared" si="53"/>
        <v>106.81591220850477</v>
      </c>
      <c r="K123" s="27">
        <f t="shared" si="53"/>
        <v>66.070289684804166</v>
      </c>
      <c r="L123" s="27">
        <f t="shared" ref="L123" si="54">(L92^3)*100</f>
        <v>3.7037037037037126</v>
      </c>
      <c r="M123" s="27">
        <f t="shared" si="53"/>
        <v>91.896004801097419</v>
      </c>
      <c r="N123" s="27">
        <f t="shared" si="53"/>
        <v>61.412499999999973</v>
      </c>
      <c r="O123" s="27">
        <f t="shared" si="53"/>
        <v>29.62962962962964</v>
      </c>
      <c r="P123" s="27">
        <f t="shared" si="53"/>
        <v>42.1875</v>
      </c>
      <c r="Q123" s="29">
        <f t="shared" si="53"/>
        <v>76.42682215743443</v>
      </c>
      <c r="R123" s="6"/>
    </row>
    <row r="124" spans="1:18">
      <c r="A124" s="14">
        <f t="shared" si="50"/>
        <v>2.2857142857142856</v>
      </c>
      <c r="B124" s="28">
        <f t="shared" si="51"/>
        <v>34.847330183407003</v>
      </c>
      <c r="C124" s="27">
        <f t="shared" si="51"/>
        <v>38.107812500000016</v>
      </c>
      <c r="D124" s="27">
        <f t="shared" si="53"/>
        <v>44.228485044811563</v>
      </c>
      <c r="E124" s="27">
        <f t="shared" si="53"/>
        <v>35.386892238940263</v>
      </c>
      <c r="F124" s="27">
        <f t="shared" si="53"/>
        <v>47.050754458161869</v>
      </c>
      <c r="G124" s="27">
        <f>(G93^3)*100</f>
        <v>91.433441888866298</v>
      </c>
      <c r="H124" s="27">
        <f t="shared" si="53"/>
        <v>34.299999999999976</v>
      </c>
      <c r="I124" s="29">
        <f t="shared" si="53"/>
        <v>48.505830903790113</v>
      </c>
      <c r="J124" s="28">
        <f t="shared" si="53"/>
        <v>65.096296296296273</v>
      </c>
      <c r="K124" s="27">
        <f t="shared" si="53"/>
        <v>52.448726125339881</v>
      </c>
      <c r="L124" s="27">
        <f t="shared" ref="L124:Q130" si="55">(L93^3)*100</f>
        <v>100</v>
      </c>
      <c r="M124" s="27">
        <f t="shared" si="53"/>
        <v>91.896004801097419</v>
      </c>
      <c r="N124" s="27">
        <f t="shared" si="53"/>
        <v>30.754687500000006</v>
      </c>
      <c r="O124" s="27">
        <f t="shared" si="53"/>
        <v>82.897849013551479</v>
      </c>
      <c r="P124" s="27">
        <f t="shared" si="53"/>
        <v>51.20000000000001</v>
      </c>
      <c r="Q124" s="29">
        <f t="shared" si="53"/>
        <v>83.818075801749274</v>
      </c>
      <c r="R124" s="55"/>
    </row>
    <row r="125" spans="1:18">
      <c r="A125" s="14">
        <f t="shared" si="50"/>
        <v>2.7142857142857144</v>
      </c>
      <c r="B125" s="28">
        <f t="shared" si="51"/>
        <v>70.233196159122087</v>
      </c>
      <c r="C125" s="27">
        <f t="shared" si="51"/>
        <v>56.151562499999997</v>
      </c>
      <c r="D125" s="27">
        <f t="shared" si="53"/>
        <v>48.50583090379007</v>
      </c>
      <c r="E125" s="27">
        <f t="shared" si="53"/>
        <v>39.175287648176912</v>
      </c>
      <c r="F125" s="27">
        <f t="shared" si="53"/>
        <v>42.187500000000021</v>
      </c>
      <c r="G125" s="27">
        <f>(G94^3)*100</f>
        <v>139.60920008141667</v>
      </c>
      <c r="H125" s="27">
        <f t="shared" si="53"/>
        <v>39.437037037037051</v>
      </c>
      <c r="I125" s="29">
        <f t="shared" si="53"/>
        <v>48.505830903790113</v>
      </c>
      <c r="J125" s="28">
        <f t="shared" si="53"/>
        <v>81.303703703703718</v>
      </c>
      <c r="K125" s="27">
        <f t="shared" si="53"/>
        <v>73.68668389782151</v>
      </c>
      <c r="L125" s="27">
        <f t="shared" si="55"/>
        <v>100</v>
      </c>
      <c r="M125" s="27">
        <f t="shared" si="53"/>
        <v>70.23319615912213</v>
      </c>
      <c r="N125" s="27">
        <f t="shared" si="53"/>
        <v>38.107812500000016</v>
      </c>
      <c r="O125" s="27">
        <f t="shared" si="53"/>
        <v>75.131480090157794</v>
      </c>
      <c r="P125" s="27">
        <f t="shared" si="53"/>
        <v>46.548437499999984</v>
      </c>
      <c r="Q125" s="29">
        <f t="shared" si="53"/>
        <v>56.883965014577278</v>
      </c>
      <c r="R125" s="6"/>
    </row>
    <row r="126" spans="1:18">
      <c r="A126" s="14">
        <f t="shared" si="50"/>
        <v>3.4285714285714284</v>
      </c>
      <c r="B126" s="28">
        <f t="shared" ref="B126:K130" si="56">(B95^3)*100</f>
        <v>61.814764009551368</v>
      </c>
      <c r="C126" s="27">
        <f t="shared" si="56"/>
        <v>56.151562499999997</v>
      </c>
      <c r="D126" s="27">
        <f t="shared" si="56"/>
        <v>53.050426519814231</v>
      </c>
      <c r="E126" s="27">
        <f t="shared" si="56"/>
        <v>57.027611323109063</v>
      </c>
      <c r="F126" s="27">
        <f t="shared" si="56"/>
        <v>47.050754458161869</v>
      </c>
      <c r="G126" s="27">
        <f t="shared" si="56"/>
        <v>100</v>
      </c>
      <c r="H126" s="27">
        <f t="shared" si="56"/>
        <v>45.062962962962956</v>
      </c>
      <c r="I126" s="29">
        <f t="shared" si="56"/>
        <v>48.505830903790113</v>
      </c>
      <c r="J126" s="28">
        <f t="shared" si="56"/>
        <v>100</v>
      </c>
      <c r="K126" s="27">
        <f t="shared" si="56"/>
        <v>73.68668389782151</v>
      </c>
      <c r="L126" s="27">
        <f t="shared" si="55"/>
        <v>100</v>
      </c>
      <c r="M126" s="27">
        <f t="shared" si="55"/>
        <v>127.14120370370368</v>
      </c>
      <c r="N126" s="27">
        <f t="shared" si="55"/>
        <v>53.6376953125</v>
      </c>
      <c r="O126" s="27">
        <f t="shared" si="55"/>
        <v>109.36917383198374</v>
      </c>
      <c r="P126" s="27">
        <f t="shared" si="55"/>
        <v>85.737499999999983</v>
      </c>
      <c r="Q126" s="29">
        <f t="shared" si="55"/>
        <v>118.14110787172012</v>
      </c>
      <c r="R126" s="6"/>
    </row>
    <row r="127" spans="1:18">
      <c r="A127" s="14">
        <f t="shared" si="50"/>
        <v>4.1428571428571432</v>
      </c>
      <c r="B127" s="28">
        <f t="shared" si="56"/>
        <v>70.233196159122087</v>
      </c>
      <c r="C127" s="27">
        <f t="shared" si="56"/>
        <v>66.9921875</v>
      </c>
      <c r="D127" s="27">
        <f t="shared" si="56"/>
        <v>80.065597667638428</v>
      </c>
      <c r="E127" s="27">
        <f t="shared" si="56"/>
        <v>62.208905848725372</v>
      </c>
      <c r="F127" s="27">
        <f t="shared" si="56"/>
        <v>77.025462962962976</v>
      </c>
      <c r="G127" s="27">
        <f t="shared" si="56"/>
        <v>247.64909423977207</v>
      </c>
      <c r="H127" s="27">
        <f t="shared" si="56"/>
        <v>65.096296296296273</v>
      </c>
      <c r="I127" s="29">
        <f t="shared" si="56"/>
        <v>42.187499999999979</v>
      </c>
      <c r="J127" s="28">
        <f t="shared" si="56"/>
        <v>137.17421124828536</v>
      </c>
      <c r="K127" s="27">
        <f t="shared" si="56"/>
        <v>143.91930448793264</v>
      </c>
      <c r="L127" s="27">
        <f t="shared" si="55"/>
        <v>100</v>
      </c>
      <c r="M127" s="27">
        <f t="shared" si="55"/>
        <v>127.14120370370368</v>
      </c>
      <c r="N127" s="27">
        <f t="shared" si="55"/>
        <v>79.145312500000003</v>
      </c>
      <c r="O127" s="27">
        <f t="shared" si="55"/>
        <v>119.30600773575979</v>
      </c>
      <c r="P127" s="27">
        <f>(P96^3)*100</f>
        <v>100</v>
      </c>
      <c r="Q127" s="29">
        <f t="shared" si="55"/>
        <v>118.14110787172012</v>
      </c>
      <c r="R127" s="6"/>
    </row>
    <row r="128" spans="1:18">
      <c r="A128" s="14">
        <f t="shared" si="50"/>
        <v>4.4285714285714288</v>
      </c>
      <c r="B128" s="28">
        <f t="shared" si="56"/>
        <v>89.29533099629117</v>
      </c>
      <c r="C128" s="27">
        <f t="shared" si="56"/>
        <v>72.899999999999977</v>
      </c>
      <c r="D128" s="27">
        <f t="shared" si="56"/>
        <v>80.065597667638428</v>
      </c>
      <c r="E128" s="27">
        <f t="shared" si="56"/>
        <v>73.494290564559464</v>
      </c>
      <c r="F128" s="27">
        <f t="shared" si="56"/>
        <v>63.852451989026051</v>
      </c>
      <c r="G128" s="27">
        <f t="shared" si="56"/>
        <v>162.83329940972939</v>
      </c>
      <c r="H128" s="27">
        <f t="shared" si="56"/>
        <v>57.870370370370381</v>
      </c>
      <c r="I128" s="29">
        <f t="shared" si="56"/>
        <v>42.187499999999979</v>
      </c>
      <c r="J128" s="28">
        <f t="shared" si="56"/>
        <v>154.30233196159128</v>
      </c>
      <c r="K128" s="27">
        <f t="shared" si="56"/>
        <v>131.93246282434291</v>
      </c>
      <c r="L128" s="27">
        <f t="shared" si="55"/>
        <v>100</v>
      </c>
      <c r="M128" s="27">
        <f t="shared" si="55"/>
        <v>127.14120370370368</v>
      </c>
      <c r="N128" s="27">
        <f t="shared" si="55"/>
        <v>61.412499999999973</v>
      </c>
      <c r="O128" s="27">
        <f t="shared" si="55"/>
        <v>129.8271975957926</v>
      </c>
      <c r="P128" s="27">
        <f>(P97^3)*100</f>
        <v>92.685937499999966</v>
      </c>
      <c r="Q128" s="29">
        <f t="shared" si="55"/>
        <v>160.74868804664715</v>
      </c>
      <c r="R128" s="6"/>
    </row>
    <row r="129" spans="1:18">
      <c r="A129" s="14">
        <f t="shared" si="50"/>
        <v>5</v>
      </c>
      <c r="B129" s="28">
        <f t="shared" si="56"/>
        <v>100</v>
      </c>
      <c r="C129" s="27">
        <f t="shared" si="56"/>
        <v>92.685937499999966</v>
      </c>
      <c r="D129" s="27">
        <f t="shared" si="56"/>
        <v>93.025861138105995</v>
      </c>
      <c r="E129" s="27">
        <f t="shared" si="56"/>
        <v>115.35961463124448</v>
      </c>
      <c r="F129" s="27">
        <f t="shared" si="56"/>
        <v>77.025462962962976</v>
      </c>
      <c r="G129" s="27">
        <f t="shared" si="56"/>
        <v>188.49989822918801</v>
      </c>
      <c r="H129" s="27">
        <f t="shared" si="56"/>
        <v>72.900000000000006</v>
      </c>
      <c r="I129" s="29">
        <f t="shared" si="56"/>
        <v>55.425473760932931</v>
      </c>
      <c r="J129" s="28">
        <f t="shared" si="56"/>
        <v>172.8</v>
      </c>
      <c r="K129" s="27">
        <f t="shared" si="56"/>
        <v>156.61105703064686</v>
      </c>
      <c r="L129" s="27">
        <f t="shared" si="55"/>
        <v>100</v>
      </c>
      <c r="M129" s="27">
        <f t="shared" si="55"/>
        <v>142.3828125</v>
      </c>
      <c r="N129" s="27">
        <f t="shared" si="55"/>
        <v>66.9921875</v>
      </c>
      <c r="O129" s="27">
        <f t="shared" si="55"/>
        <v>100</v>
      </c>
      <c r="P129" s="27">
        <f>(P98^3)*100</f>
        <v>124.22968749999998</v>
      </c>
      <c r="Q129" s="29">
        <f t="shared" si="55"/>
        <v>149.27113702623905</v>
      </c>
      <c r="R129" s="6"/>
    </row>
    <row r="130" spans="1:18">
      <c r="A130" s="14">
        <f t="shared" si="50"/>
        <v>5.4285714285714288</v>
      </c>
      <c r="B130" s="28">
        <f t="shared" si="56"/>
        <v>100</v>
      </c>
      <c r="C130" s="27">
        <f t="shared" si="56"/>
        <v>100</v>
      </c>
      <c r="D130" s="27">
        <f t="shared" si="56"/>
        <v>93.025861138105995</v>
      </c>
      <c r="E130" s="27">
        <f t="shared" si="56"/>
        <v>132.21659581259706</v>
      </c>
      <c r="F130" s="27">
        <f t="shared" si="56"/>
        <v>100</v>
      </c>
      <c r="G130" s="27">
        <f t="shared" si="56"/>
        <v>188.49989822918801</v>
      </c>
      <c r="H130" s="27">
        <f t="shared" si="56"/>
        <v>65.096296296296273</v>
      </c>
      <c r="I130" s="29">
        <f t="shared" si="56"/>
        <v>55.425473760932931</v>
      </c>
      <c r="J130" s="28">
        <f t="shared" si="56"/>
        <v>203.22962962962961</v>
      </c>
      <c r="K130" s="27">
        <f t="shared" si="56"/>
        <v>214.8299822093922</v>
      </c>
      <c r="L130" s="27">
        <f t="shared" si="55"/>
        <v>100</v>
      </c>
      <c r="M130" s="27">
        <f t="shared" si="55"/>
        <v>208.62482853223602</v>
      </c>
      <c r="N130" s="27">
        <f t="shared" si="55"/>
        <v>100</v>
      </c>
      <c r="O130" s="27">
        <f t="shared" si="55"/>
        <v>100</v>
      </c>
      <c r="P130" s="27">
        <f>(P99^3)*100</f>
        <v>183.82656249999994</v>
      </c>
      <c r="Q130" s="29">
        <f t="shared" si="55"/>
        <v>257.94052478134108</v>
      </c>
      <c r="R130" s="6"/>
    </row>
    <row r="131" spans="1:18">
      <c r="A131" s="14">
        <f t="shared" si="50"/>
        <v>5.8571428571428568</v>
      </c>
      <c r="B131" s="28">
        <f t="shared" ref="B131:Q131" si="57">(B100^3)*100</f>
        <v>111.52771427119848</v>
      </c>
      <c r="C131" s="27">
        <f t="shared" si="57"/>
        <v>115.76250000000002</v>
      </c>
      <c r="D131" s="27">
        <f t="shared" si="57"/>
        <v>140.13470467552102</v>
      </c>
      <c r="E131" s="27">
        <f t="shared" si="57"/>
        <v>107.49698930659741</v>
      </c>
      <c r="F131" s="27">
        <f t="shared" si="57"/>
        <v>91.896004801097419</v>
      </c>
      <c r="G131" s="27">
        <f t="shared" si="57"/>
        <v>264.15377569713019</v>
      </c>
      <c r="H131" s="27">
        <f t="shared" si="57"/>
        <v>81.303703703703675</v>
      </c>
      <c r="I131" s="29">
        <f t="shared" si="57"/>
        <v>55.425473760932931</v>
      </c>
      <c r="J131" s="28">
        <f t="shared" si="57"/>
        <v>214.1146776406035</v>
      </c>
      <c r="K131" s="27">
        <f t="shared" si="57"/>
        <v>266.88261555503345</v>
      </c>
      <c r="L131" s="27">
        <f t="shared" si="57"/>
        <v>100</v>
      </c>
      <c r="M131" s="27">
        <f t="shared" si="57"/>
        <v>319.09507887517157</v>
      </c>
      <c r="N131" s="27">
        <f t="shared" si="57"/>
        <v>304.86250000000001</v>
      </c>
      <c r="O131" s="27">
        <f t="shared" si="57"/>
        <v>178.08943428778142</v>
      </c>
      <c r="P131" s="27">
        <f t="shared" si="57"/>
        <v>219.70000000000005</v>
      </c>
      <c r="Q131" s="29">
        <f t="shared" si="57"/>
        <v>309.39008746355682</v>
      </c>
      <c r="R131" s="6"/>
    </row>
    <row r="132" spans="1:18">
      <c r="A132" s="14">
        <f t="shared" si="50"/>
        <v>6.5714285714285712</v>
      </c>
      <c r="B132" s="28">
        <f t="shared" ref="B132:Q132" si="58">(B101^3)*100</f>
        <v>137.17421124828525</v>
      </c>
      <c r="C132" s="27">
        <f t="shared" si="58"/>
        <v>115.76250000000002</v>
      </c>
      <c r="D132" s="27">
        <f t="shared" si="58"/>
        <v>100</v>
      </c>
      <c r="E132" s="27">
        <f t="shared" si="58"/>
        <v>115.35961463124448</v>
      </c>
      <c r="F132" s="27">
        <f t="shared" si="58"/>
        <v>77.025462962962976</v>
      </c>
      <c r="G132" s="27">
        <f t="shared" si="58"/>
        <v>264.15377569713019</v>
      </c>
      <c r="H132" s="27">
        <f t="shared" si="58"/>
        <v>90.329629629629665</v>
      </c>
      <c r="I132" s="29">
        <f t="shared" si="58"/>
        <v>80.065597667638471</v>
      </c>
      <c r="J132" s="28">
        <f t="shared" si="58"/>
        <v>145.57037037037034</v>
      </c>
      <c r="K132" s="27">
        <f t="shared" si="58"/>
        <v>131.93246282434291</v>
      </c>
      <c r="L132" s="27">
        <f t="shared" si="58"/>
        <v>100</v>
      </c>
      <c r="M132" s="27">
        <f t="shared" si="58"/>
        <v>147.72162208504801</v>
      </c>
      <c r="N132" s="27">
        <f t="shared" si="58"/>
        <v>85.737499999999983</v>
      </c>
      <c r="O132" s="27">
        <f t="shared" si="58"/>
        <v>129.8271975957926</v>
      </c>
      <c r="P132" s="27">
        <f t="shared" si="58"/>
        <v>124.22968749999998</v>
      </c>
      <c r="Q132" s="29">
        <f t="shared" si="58"/>
        <v>185.43906705539354</v>
      </c>
      <c r="R132" s="57"/>
    </row>
    <row r="133" spans="1:18">
      <c r="A133" s="14">
        <f t="shared" si="50"/>
        <v>7</v>
      </c>
      <c r="B133" s="28">
        <f t="shared" ref="B133:Q133" si="59">(B102^3)*100</f>
        <v>199.6850073667631</v>
      </c>
      <c r="C133" s="27">
        <f t="shared" si="59"/>
        <v>133.09999999999997</v>
      </c>
      <c r="D133" s="27">
        <f t="shared" si="59"/>
        <v>122.9956268221574</v>
      </c>
      <c r="E133" s="27">
        <f t="shared" si="59"/>
        <v>150.64058849987671</v>
      </c>
      <c r="F133" s="27">
        <f t="shared" si="59"/>
        <v>137.17421124828536</v>
      </c>
      <c r="G133" s="27">
        <f t="shared" si="59"/>
        <v>549.56238550783655</v>
      </c>
      <c r="H133" s="27">
        <f t="shared" si="59"/>
        <v>110.33703703703699</v>
      </c>
      <c r="I133" s="29">
        <f t="shared" si="59"/>
        <v>62.973760932944643</v>
      </c>
      <c r="J133" s="28">
        <f t="shared" si="59"/>
        <v>163.37668038408782</v>
      </c>
      <c r="K133" s="27">
        <f t="shared" si="59"/>
        <v>143.91930448793264</v>
      </c>
      <c r="L133" s="27">
        <f t="shared" si="59"/>
        <v>100</v>
      </c>
      <c r="M133" s="27">
        <f t="shared" si="59"/>
        <v>137.17421124828536</v>
      </c>
      <c r="N133" s="27">
        <f t="shared" si="59"/>
        <v>85.737499999999983</v>
      </c>
      <c r="O133" s="27">
        <f t="shared" si="59"/>
        <v>165.06386175807657</v>
      </c>
      <c r="P133" s="27">
        <f t="shared" si="59"/>
        <v>107.68906249999999</v>
      </c>
      <c r="Q133" s="29">
        <f t="shared" si="59"/>
        <v>172.8</v>
      </c>
      <c r="R133" s="57"/>
    </row>
    <row r="134" spans="1:18">
      <c r="A134" s="14">
        <f t="shared" si="50"/>
        <v>7.5714285714285712</v>
      </c>
      <c r="B134" s="28">
        <f t="shared" ref="B134:Q135" si="60">(B103^3)*100</f>
        <v>166.47868719199309</v>
      </c>
      <c r="C134" s="27">
        <f t="shared" si="60"/>
        <v>115.76250000000002</v>
      </c>
      <c r="D134" s="27">
        <f t="shared" si="60"/>
        <v>131.37890076665582</v>
      </c>
      <c r="E134" s="27">
        <f t="shared" si="60"/>
        <v>192.46818821549309</v>
      </c>
      <c r="F134" s="27">
        <f t="shared" si="60"/>
        <v>108.56695816186561</v>
      </c>
      <c r="G134" s="27">
        <f t="shared" si="60"/>
        <v>446.81457358029724</v>
      </c>
      <c r="H134" s="27">
        <f t="shared" si="60"/>
        <v>100</v>
      </c>
      <c r="I134" s="29">
        <f t="shared" si="60"/>
        <v>71.178024781341122</v>
      </c>
      <c r="J134" s="28">
        <f t="shared" si="60"/>
        <v>192.71989026063102</v>
      </c>
      <c r="K134" s="27">
        <f t="shared" si="60"/>
        <v>231.34839381021109</v>
      </c>
      <c r="L134" s="27">
        <f t="shared" si="60"/>
        <v>100</v>
      </c>
      <c r="M134" s="27">
        <f t="shared" si="60"/>
        <v>222.52872085048025</v>
      </c>
      <c r="N134" s="27">
        <f t="shared" si="60"/>
        <v>92.685937499999966</v>
      </c>
      <c r="O134" s="27">
        <f t="shared" si="60"/>
        <v>140.94943929654679</v>
      </c>
      <c r="P134" s="27">
        <f t="shared" si="60"/>
        <v>162.22343750000005</v>
      </c>
      <c r="Q134" s="29">
        <f t="shared" si="60"/>
        <v>257.94052478134108</v>
      </c>
      <c r="R134" s="57"/>
    </row>
    <row r="135" spans="1:18">
      <c r="A135" s="14">
        <f t="shared" si="50"/>
        <v>8.2857142857142865</v>
      </c>
      <c r="B135" s="28">
        <f t="shared" si="60"/>
        <v>123.90895696794193</v>
      </c>
      <c r="C135" s="27">
        <f t="shared" si="60"/>
        <v>152.08749999999995</v>
      </c>
      <c r="D135" s="27">
        <f t="shared" si="60"/>
        <v>145.57037037037034</v>
      </c>
      <c r="E135" s="27">
        <f t="shared" si="60"/>
        <v>185.75479752180041</v>
      </c>
      <c r="F135" s="27">
        <f t="shared" si="60"/>
        <v>143.4401063100137</v>
      </c>
      <c r="G135" s="27">
        <f t="shared" si="60"/>
        <v>446.81457358029724</v>
      </c>
      <c r="H135" s="27">
        <f t="shared" si="60"/>
        <v>110.33703703703699</v>
      </c>
      <c r="I135" s="29">
        <f t="shared" si="60"/>
        <v>66.992187500000028</v>
      </c>
      <c r="J135" s="28">
        <f t="shared" si="60"/>
        <v>203.22962962962961</v>
      </c>
      <c r="K135" s="27">
        <f t="shared" si="60"/>
        <v>248.69255815514762</v>
      </c>
      <c r="L135" s="27">
        <f t="shared" si="60"/>
        <v>100</v>
      </c>
      <c r="M135" s="27">
        <f t="shared" si="60"/>
        <v>215.50202546296299</v>
      </c>
      <c r="N135" s="27">
        <f t="shared" si="60"/>
        <v>85.737499999999983</v>
      </c>
      <c r="O135" s="27">
        <f t="shared" si="60"/>
        <v>152.68942872248661</v>
      </c>
      <c r="P135" s="27">
        <f t="shared" si="60"/>
        <v>162.22343750000005</v>
      </c>
      <c r="Q135" s="29">
        <f t="shared" si="60"/>
        <v>320.43870787172023</v>
      </c>
      <c r="R135" s="65"/>
    </row>
    <row r="136" spans="1:18">
      <c r="A136" s="14">
        <f t="shared" si="50"/>
        <v>9</v>
      </c>
      <c r="B136" s="28">
        <f t="shared" ref="B136:Q136" si="61">(B105^3)*100</f>
        <v>137.17421124828525</v>
      </c>
      <c r="C136" s="27">
        <f t="shared" si="61"/>
        <v>172.8</v>
      </c>
      <c r="D136" s="27">
        <f t="shared" si="61"/>
        <v>149.27113702623905</v>
      </c>
      <c r="E136" s="27">
        <f t="shared" si="61"/>
        <v>228.4702775641677</v>
      </c>
      <c r="F136" s="27">
        <f t="shared" si="61"/>
        <v>158.79629629629633</v>
      </c>
      <c r="G136" s="27">
        <f t="shared" si="61"/>
        <v>800.00000000000057</v>
      </c>
      <c r="H136" s="27">
        <f t="shared" si="61"/>
        <v>100</v>
      </c>
      <c r="I136" s="29">
        <f t="shared" si="61"/>
        <v>111.10149416909623</v>
      </c>
      <c r="J136" s="28">
        <f t="shared" si="61"/>
        <v>192.71989026063102</v>
      </c>
      <c r="K136" s="27">
        <f t="shared" si="61"/>
        <v>214.8299822093922</v>
      </c>
      <c r="L136" s="27">
        <f t="shared" si="61"/>
        <v>100</v>
      </c>
      <c r="M136" s="27">
        <f t="shared" si="61"/>
        <v>182.5788751714677</v>
      </c>
      <c r="N136" s="27">
        <f t="shared" si="61"/>
        <v>107.68906249999999</v>
      </c>
      <c r="O136" s="27">
        <f t="shared" si="61"/>
        <v>178.08943428778142</v>
      </c>
      <c r="P136" s="27">
        <f t="shared" si="61"/>
        <v>152.08749999999995</v>
      </c>
      <c r="Q136" s="29">
        <f t="shared" si="61"/>
        <v>274.39999999999992</v>
      </c>
      <c r="R136" s="65"/>
    </row>
    <row r="137" spans="1:18">
      <c r="A137" s="14">
        <f t="shared" si="50"/>
        <v>9.4285714285714288</v>
      </c>
      <c r="B137" s="28">
        <f t="shared" ref="B137:Q139" si="62">(B106^3)*100</f>
        <v>151.35396027028392</v>
      </c>
      <c r="C137" s="27">
        <f t="shared" si="62"/>
        <v>142.3828125</v>
      </c>
      <c r="D137" s="27">
        <f t="shared" si="62"/>
        <v>140.13470467552102</v>
      </c>
      <c r="E137" s="27">
        <f t="shared" si="62"/>
        <v>216.01108515546787</v>
      </c>
      <c r="F137" s="27">
        <f t="shared" si="62"/>
        <v>158.79629629629633</v>
      </c>
      <c r="G137" s="27">
        <f t="shared" si="62"/>
        <v>666.9651943822513</v>
      </c>
      <c r="H137" s="27">
        <f t="shared" si="62"/>
        <v>100</v>
      </c>
      <c r="I137" s="29">
        <f t="shared" si="62"/>
        <v>80.065597667638471</v>
      </c>
      <c r="J137" s="28">
        <f t="shared" si="62"/>
        <v>287.67517146776396</v>
      </c>
      <c r="K137" s="27">
        <f t="shared" si="62"/>
        <v>371.22620925782968</v>
      </c>
      <c r="L137" s="27">
        <f t="shared" si="62"/>
        <v>100</v>
      </c>
      <c r="M137" s="27">
        <f t="shared" si="62"/>
        <v>284.31712962962968</v>
      </c>
      <c r="N137" s="27">
        <f t="shared" si="62"/>
        <v>133.09999999999997</v>
      </c>
      <c r="O137" s="27">
        <f t="shared" si="62"/>
        <v>391.26248713025581</v>
      </c>
      <c r="P137" s="27">
        <f t="shared" si="62"/>
        <v>232.62031249999998</v>
      </c>
      <c r="Q137" s="29">
        <f t="shared" si="62"/>
        <v>455.07172011661794</v>
      </c>
      <c r="R137" s="66"/>
    </row>
    <row r="138" spans="1:18">
      <c r="A138" s="14">
        <f t="shared" si="50"/>
        <v>10</v>
      </c>
      <c r="B138" s="28">
        <f t="shared" si="62"/>
        <v>182.5788751714677</v>
      </c>
      <c r="C138" s="27">
        <f t="shared" si="62"/>
        <v>152.08749999999995</v>
      </c>
      <c r="D138" s="27">
        <f t="shared" si="62"/>
        <v>158.79629629629625</v>
      </c>
      <c r="E138" s="27">
        <f t="shared" si="62"/>
        <v>254.80767835637911</v>
      </c>
      <c r="F138" s="27">
        <f t="shared" si="62"/>
        <v>182.5788751714677</v>
      </c>
      <c r="G138" s="27">
        <f t="shared" si="62"/>
        <v>765.22236922450691</v>
      </c>
      <c r="H138" s="27">
        <f t="shared" si="62"/>
        <v>100</v>
      </c>
      <c r="I138" s="29">
        <f t="shared" si="62"/>
        <v>122.9956268221574</v>
      </c>
      <c r="J138" s="28">
        <f t="shared" si="62"/>
        <v>309.7946951989025</v>
      </c>
      <c r="K138" s="27">
        <f t="shared" si="62"/>
        <v>432.30379980531046</v>
      </c>
      <c r="L138" s="27">
        <f t="shared" si="62"/>
        <v>100</v>
      </c>
      <c r="M138" s="27">
        <f t="shared" si="62"/>
        <v>337.5</v>
      </c>
      <c r="N138" s="27">
        <f t="shared" si="62"/>
        <v>195.3125</v>
      </c>
      <c r="O138" s="27">
        <f t="shared" si="62"/>
        <v>270.85176837242943</v>
      </c>
      <c r="P138" s="27">
        <f t="shared" si="62"/>
        <v>320.90468749999997</v>
      </c>
      <c r="Q138" s="29">
        <f t="shared" si="62"/>
        <v>611.4145772594751</v>
      </c>
      <c r="R138" s="66"/>
    </row>
    <row r="139" spans="1:18">
      <c r="A139" s="14">
        <f t="shared" si="50"/>
        <v>10.428571428571429</v>
      </c>
      <c r="B139" s="28">
        <f t="shared" si="62"/>
        <v>182.5788751714677</v>
      </c>
      <c r="C139" s="27">
        <f t="shared" si="62"/>
        <v>183.82656249999994</v>
      </c>
      <c r="D139" s="27">
        <f t="shared" si="62"/>
        <v>149.27113702623905</v>
      </c>
      <c r="E139" s="27">
        <f t="shared" si="62"/>
        <v>297.99190377388601</v>
      </c>
      <c r="F139" s="27">
        <f t="shared" si="62"/>
        <v>182.5788751714677</v>
      </c>
      <c r="G139" s="27">
        <f t="shared" si="62"/>
        <v>910.62232851618182</v>
      </c>
      <c r="H139" s="27">
        <f t="shared" si="62"/>
        <v>121.36296296296297</v>
      </c>
      <c r="I139" s="29">
        <f t="shared" si="62"/>
        <v>249.96355685131198</v>
      </c>
      <c r="J139" s="28">
        <f t="shared" si="62"/>
        <v>261.53964334705074</v>
      </c>
      <c r="K139" s="27">
        <f t="shared" si="62"/>
        <v>326.72954919270921</v>
      </c>
      <c r="L139" s="27">
        <f t="shared" si="62"/>
        <v>100</v>
      </c>
      <c r="M139" s="27">
        <f t="shared" si="62"/>
        <v>267.91838134430736</v>
      </c>
      <c r="N139" s="27">
        <f t="shared" si="62"/>
        <v>152.08749999999995</v>
      </c>
      <c r="O139" s="27">
        <f t="shared" si="62"/>
        <v>119.30600773575979</v>
      </c>
      <c r="P139" s="27">
        <f t="shared" si="62"/>
        <v>274.39999999999992</v>
      </c>
      <c r="Q139" s="29">
        <f t="shared" si="62"/>
        <v>479.01807580174909</v>
      </c>
      <c r="R139" s="70"/>
    </row>
    <row r="140" spans="1:18">
      <c r="A140" s="14"/>
      <c r="B140" s="28"/>
      <c r="C140" s="27"/>
      <c r="D140" s="27"/>
      <c r="E140" s="27"/>
      <c r="F140" s="27"/>
      <c r="G140" s="27"/>
      <c r="H140" s="27"/>
      <c r="I140" s="29"/>
      <c r="J140" s="28"/>
      <c r="K140" s="27"/>
      <c r="L140" s="27"/>
      <c r="M140" s="27"/>
      <c r="N140" s="27"/>
      <c r="O140" s="27"/>
      <c r="P140" s="27"/>
      <c r="Q140" s="29"/>
      <c r="R140" s="70"/>
    </row>
    <row r="141" spans="1:18">
      <c r="A141" s="14"/>
      <c r="B141" s="28"/>
      <c r="C141" s="27"/>
      <c r="D141" s="27"/>
      <c r="E141" s="27"/>
      <c r="F141" s="27"/>
      <c r="G141" s="27"/>
      <c r="H141" s="27"/>
      <c r="I141" s="29"/>
      <c r="J141" s="28"/>
      <c r="K141" s="27"/>
      <c r="L141" s="27"/>
      <c r="M141" s="27"/>
      <c r="N141" s="27"/>
      <c r="O141" s="27"/>
      <c r="P141" s="27"/>
      <c r="Q141" s="29"/>
      <c r="R141" s="66"/>
    </row>
    <row r="142" spans="1:18">
      <c r="A142" s="14"/>
      <c r="B142" s="28"/>
      <c r="C142" s="27"/>
      <c r="D142" s="27"/>
      <c r="E142" s="27"/>
      <c r="F142" s="27"/>
      <c r="G142" s="27"/>
      <c r="H142" s="27"/>
      <c r="I142" s="29"/>
      <c r="J142" s="28"/>
      <c r="K142" s="27"/>
      <c r="L142" s="27"/>
      <c r="M142" s="27"/>
      <c r="N142" s="27"/>
      <c r="O142" s="27"/>
      <c r="P142" s="27"/>
      <c r="Q142" s="29"/>
      <c r="R142" s="65"/>
    </row>
    <row r="143" spans="1:18" ht="19" thickBot="1">
      <c r="B143" s="3"/>
      <c r="C143" s="4"/>
      <c r="D143" s="4"/>
      <c r="E143" s="4"/>
      <c r="F143" s="4"/>
      <c r="G143" s="4"/>
      <c r="H143" s="4"/>
      <c r="I143" s="32"/>
      <c r="J143" s="3"/>
      <c r="K143" s="4"/>
      <c r="L143" s="4"/>
      <c r="M143" s="4"/>
      <c r="N143" s="4"/>
      <c r="O143" s="4"/>
      <c r="P143" s="4"/>
      <c r="Q143" s="32"/>
      <c r="R143" s="6"/>
    </row>
    <row r="144" spans="1:18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>
      <c r="A148" s="6"/>
      <c r="B148" s="88"/>
      <c r="C148" s="84" t="s">
        <v>25</v>
      </c>
      <c r="D148" s="84"/>
      <c r="E148" s="84"/>
      <c r="F148" s="8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</sheetData>
  <mergeCells count="55">
    <mergeCell ref="C148:F148"/>
    <mergeCell ref="B3:L3"/>
    <mergeCell ref="P53:Q53"/>
    <mergeCell ref="B5:C5"/>
    <mergeCell ref="B1:K1"/>
    <mergeCell ref="P16:Q16"/>
    <mergeCell ref="N16:O16"/>
    <mergeCell ref="B2:F2"/>
    <mergeCell ref="D16:E16"/>
    <mergeCell ref="F16:G16"/>
    <mergeCell ref="H16:I16"/>
    <mergeCell ref="J16:K16"/>
    <mergeCell ref="L16:M16"/>
    <mergeCell ref="B14:I14"/>
    <mergeCell ref="B15:I15"/>
    <mergeCell ref="J14:Q14"/>
    <mergeCell ref="J15:Q15"/>
    <mergeCell ref="B16:C16"/>
    <mergeCell ref="F53:G53"/>
    <mergeCell ref="H53:I53"/>
    <mergeCell ref="J53:K53"/>
    <mergeCell ref="L53:M53"/>
    <mergeCell ref="B51:I51"/>
    <mergeCell ref="C49:G49"/>
    <mergeCell ref="J51:Q51"/>
    <mergeCell ref="B52:I52"/>
    <mergeCell ref="J52:Q52"/>
    <mergeCell ref="B53:C53"/>
    <mergeCell ref="D53:E53"/>
    <mergeCell ref="N53:O53"/>
    <mergeCell ref="A51:A52"/>
    <mergeCell ref="B115:I115"/>
    <mergeCell ref="J115:Q115"/>
    <mergeCell ref="L86:M86"/>
    <mergeCell ref="N86:O86"/>
    <mergeCell ref="P86:Q86"/>
    <mergeCell ref="B84:I84"/>
    <mergeCell ref="J84:Q84"/>
    <mergeCell ref="B85:I85"/>
    <mergeCell ref="J85:Q85"/>
    <mergeCell ref="B86:C86"/>
    <mergeCell ref="D86:E86"/>
    <mergeCell ref="F86:G86"/>
    <mergeCell ref="H86:I86"/>
    <mergeCell ref="J86:K86"/>
    <mergeCell ref="B116:I116"/>
    <mergeCell ref="J116:Q116"/>
    <mergeCell ref="B117:C117"/>
    <mergeCell ref="D117:E117"/>
    <mergeCell ref="F117:G117"/>
    <mergeCell ref="H117:I117"/>
    <mergeCell ref="J117:K117"/>
    <mergeCell ref="L117:M117"/>
    <mergeCell ref="N117:O117"/>
    <mergeCell ref="P117:Q11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251F-53D4-DB4F-88EF-4BB26E57C7A4}">
  <dimension ref="A1:B4"/>
  <sheetViews>
    <sheetView workbookViewId="0">
      <selection activeCell="D25" sqref="D25"/>
    </sheetView>
  </sheetViews>
  <sheetFormatPr baseColWidth="10" defaultRowHeight="16"/>
  <sheetData>
    <row r="1" spans="1:2">
      <c r="A1" t="s">
        <v>5</v>
      </c>
    </row>
    <row r="2" spans="1:2">
      <c r="A2" t="s">
        <v>13</v>
      </c>
      <c r="B2" t="s">
        <v>20</v>
      </c>
    </row>
    <row r="4" spans="1:2">
      <c r="A4" t="s">
        <v>22</v>
      </c>
      <c r="B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Tumor measurement </vt:lpstr>
      <vt:lpstr>comments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2021-08-17T18:04:35Z</dcterms:created>
  <dcterms:modified xsi:type="dcterms:W3CDTF">2021-11-22T17:48:00Z</dcterms:modified>
</cp:coreProperties>
</file>