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67383/Documents/DynamicDoseResponse/Xenographs/BD33/"/>
    </mc:Choice>
  </mc:AlternateContent>
  <xr:revisionPtr revIDLastSave="0" documentId="13_ncr:1_{BAF035AD-AEAD-8940-B75F-4E43C093BC1D}" xr6:coauthVersionLast="47" xr6:coauthVersionMax="47" xr10:uidLastSave="{00000000-0000-0000-0000-000000000000}"/>
  <bookViews>
    <workbookView xWindow="15600" yWindow="4000" windowWidth="34520" windowHeight="20580" activeTab="1" xr2:uid="{BB31187D-08E5-0D42-9699-DC37A098ABF3}"/>
  </bookViews>
  <sheets>
    <sheet name="Tumor measurement " sheetId="2" r:id="rId1"/>
    <sheet name="Treatment" sheetId="5" r:id="rId2"/>
    <sheet name="Histology" sheetId="4" r:id="rId3"/>
    <sheet name="comments 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44" i="5" l="1"/>
  <c r="AY41" i="5"/>
  <c r="AY42" i="5"/>
  <c r="AY43" i="5"/>
  <c r="AY7" i="5"/>
  <c r="AY8" i="5"/>
  <c r="AY9" i="5" s="1"/>
  <c r="AY10" i="5" s="1"/>
  <c r="AY11" i="5" s="1"/>
  <c r="AY12" i="5" s="1"/>
  <c r="AY13" i="5" s="1"/>
  <c r="AY14" i="5" s="1"/>
  <c r="AY15" i="5" s="1"/>
  <c r="AY16" i="5" s="1"/>
  <c r="AY17" i="5" s="1"/>
  <c r="AY18" i="5" s="1"/>
  <c r="AY19" i="5" s="1"/>
  <c r="AY20" i="5" s="1"/>
  <c r="AY21" i="5" s="1"/>
  <c r="AY22" i="5" s="1"/>
  <c r="AY23" i="5" s="1"/>
  <c r="AY24" i="5" s="1"/>
  <c r="AY25" i="5" s="1"/>
  <c r="AY26" i="5" s="1"/>
  <c r="AY27" i="5" s="1"/>
  <c r="AY28" i="5" s="1"/>
  <c r="AY29" i="5" s="1"/>
  <c r="AY30" i="5" s="1"/>
  <c r="AY31" i="5" s="1"/>
  <c r="AY32" i="5" s="1"/>
  <c r="AY33" i="5" s="1"/>
  <c r="AY34" i="5" s="1"/>
  <c r="AY35" i="5" s="1"/>
  <c r="AY36" i="5" s="1"/>
  <c r="AY37" i="5" s="1"/>
  <c r="AY38" i="5" s="1"/>
  <c r="AY39" i="5" s="1"/>
  <c r="AY40" i="5" s="1"/>
  <c r="AY6" i="5"/>
  <c r="X149" i="2"/>
  <c r="Y149" i="2"/>
  <c r="Z149" i="2"/>
  <c r="AA149" i="2"/>
  <c r="AB149" i="2"/>
  <c r="AC149" i="2"/>
  <c r="AD149" i="2"/>
  <c r="AE149" i="2"/>
  <c r="X150" i="2"/>
  <c r="Y150" i="2"/>
  <c r="Z150" i="2"/>
  <c r="AA150" i="2"/>
  <c r="AB150" i="2"/>
  <c r="AC150" i="2"/>
  <c r="AD150" i="2"/>
  <c r="AE150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B150" i="2"/>
  <c r="B149" i="2"/>
  <c r="X78" i="2"/>
  <c r="Y78" i="2"/>
  <c r="Z78" i="2"/>
  <c r="AA78" i="2"/>
  <c r="AB78" i="2"/>
  <c r="AC78" i="2"/>
  <c r="AD78" i="2"/>
  <c r="AE78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X77" i="2"/>
  <c r="Y77" i="2"/>
  <c r="Z77" i="2"/>
  <c r="AA77" i="2"/>
  <c r="AB77" i="2"/>
  <c r="AC77" i="2"/>
  <c r="AD77" i="2"/>
  <c r="AE77" i="2"/>
  <c r="O77" i="2"/>
  <c r="P77" i="2"/>
  <c r="Q77" i="2"/>
  <c r="R77" i="2"/>
  <c r="S77" i="2"/>
  <c r="T77" i="2"/>
  <c r="U77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X76" i="2"/>
  <c r="Y76" i="2"/>
  <c r="Z76" i="2"/>
  <c r="AA76" i="2"/>
  <c r="AB76" i="2"/>
  <c r="AC76" i="2"/>
  <c r="AD76" i="2"/>
  <c r="AE76" i="2"/>
  <c r="O76" i="2"/>
  <c r="P76" i="2"/>
  <c r="Q76" i="2"/>
  <c r="R76" i="2"/>
  <c r="S76" i="2"/>
  <c r="T76" i="2"/>
  <c r="U76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X75" i="2"/>
  <c r="Y75" i="2"/>
  <c r="Z75" i="2"/>
  <c r="AA75" i="2"/>
  <c r="AB75" i="2"/>
  <c r="AC75" i="2"/>
  <c r="AD75" i="2"/>
  <c r="AE75" i="2"/>
  <c r="T75" i="2"/>
  <c r="U75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X74" i="2"/>
  <c r="Y74" i="2"/>
  <c r="Z74" i="2"/>
  <c r="AA74" i="2"/>
  <c r="AB74" i="2"/>
  <c r="AC74" i="2"/>
  <c r="AD74" i="2"/>
  <c r="AE74" i="2"/>
  <c r="S74" i="2"/>
  <c r="T74" i="2"/>
  <c r="U74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X73" i="2"/>
  <c r="Y73" i="2"/>
  <c r="Z73" i="2"/>
  <c r="AA73" i="2"/>
  <c r="AB73" i="2"/>
  <c r="AC73" i="2"/>
  <c r="AD73" i="2"/>
  <c r="AE73" i="2"/>
  <c r="AF73" i="2"/>
  <c r="AG73" i="2"/>
  <c r="AH73" i="2"/>
  <c r="AI73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AJ73" i="2"/>
  <c r="AK73" i="2"/>
  <c r="AL73" i="2"/>
  <c r="AM73" i="2"/>
  <c r="AN73" i="2"/>
  <c r="AO73" i="2"/>
  <c r="AL72" i="2" l="1"/>
  <c r="AM72" i="2"/>
  <c r="AN72" i="2"/>
  <c r="AO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U72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AH71" i="2"/>
  <c r="AI71" i="2"/>
  <c r="AJ71" i="2"/>
  <c r="AK71" i="2"/>
  <c r="AL71" i="2"/>
  <c r="AM71" i="2"/>
  <c r="AN71" i="2"/>
  <c r="AO71" i="2"/>
  <c r="X71" i="2"/>
  <c r="Y71" i="2"/>
  <c r="Z71" i="2"/>
  <c r="AA71" i="2"/>
  <c r="AB71" i="2"/>
  <c r="AC71" i="2"/>
  <c r="AD71" i="2"/>
  <c r="AE71" i="2"/>
  <c r="AF71" i="2"/>
  <c r="AG71" i="2"/>
  <c r="Q71" i="2"/>
  <c r="R71" i="2"/>
  <c r="S71" i="2"/>
  <c r="T71" i="2"/>
  <c r="U71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P69" i="2"/>
  <c r="Q69" i="2"/>
  <c r="R69" i="2"/>
  <c r="S69" i="2"/>
  <c r="T69" i="2"/>
  <c r="U69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AF68" i="2"/>
  <c r="AG68" i="2"/>
  <c r="AH68" i="2"/>
  <c r="AI68" i="2"/>
  <c r="AJ68" i="2"/>
  <c r="AK68" i="2"/>
  <c r="AL68" i="2"/>
  <c r="AM68" i="2"/>
  <c r="AN68" i="2"/>
  <c r="AO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B68" i="2"/>
  <c r="C68" i="2"/>
  <c r="D68" i="2"/>
  <c r="E68" i="2"/>
  <c r="F68" i="2"/>
  <c r="G68" i="2"/>
  <c r="H68" i="2"/>
  <c r="I68" i="2"/>
  <c r="J68" i="2"/>
  <c r="K68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AF65" i="2"/>
  <c r="AG65" i="2"/>
  <c r="AH65" i="2"/>
  <c r="AI65" i="2"/>
  <c r="AJ65" i="2"/>
  <c r="AK65" i="2"/>
  <c r="AL65" i="2"/>
  <c r="AM65" i="2"/>
  <c r="AN65" i="2"/>
  <c r="AO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B65" i="2"/>
  <c r="C65" i="2"/>
  <c r="D65" i="2"/>
  <c r="E65" i="2"/>
  <c r="F65" i="2"/>
  <c r="G65" i="2"/>
  <c r="H65" i="2"/>
  <c r="I65" i="2"/>
  <c r="J65" i="2"/>
  <c r="K65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AA62" i="2" l="1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AH60" i="2"/>
  <c r="AI60" i="2"/>
  <c r="AJ60" i="2"/>
  <c r="AK60" i="2"/>
  <c r="AL60" i="2"/>
  <c r="AM60" i="2"/>
  <c r="AN60" i="2"/>
  <c r="AO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AO58" i="2"/>
  <c r="AK58" i="2"/>
  <c r="B58" i="2"/>
  <c r="AN58" i="2"/>
  <c r="AM58" i="2"/>
  <c r="AL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W99" i="2" s="1"/>
  <c r="W129" i="2" s="1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108" i="2" l="1"/>
  <c r="C138" i="2" s="1"/>
  <c r="C109" i="2"/>
  <c r="C139" i="2" s="1"/>
  <c r="L108" i="2"/>
  <c r="L138" i="2" s="1"/>
  <c r="L109" i="2"/>
  <c r="L139" i="2" s="1"/>
  <c r="D108" i="2"/>
  <c r="D138" i="2" s="1"/>
  <c r="D109" i="2"/>
  <c r="D139" i="2" s="1"/>
  <c r="M108" i="2"/>
  <c r="M138" i="2" s="1"/>
  <c r="M109" i="2"/>
  <c r="M139" i="2" s="1"/>
  <c r="AD108" i="2"/>
  <c r="AD138" i="2" s="1"/>
  <c r="AD109" i="2"/>
  <c r="AD139" i="2" s="1"/>
  <c r="AE108" i="2"/>
  <c r="AE138" i="2" s="1"/>
  <c r="AE109" i="2"/>
  <c r="AE139" i="2" s="1"/>
  <c r="S108" i="2"/>
  <c r="S138" i="2" s="1"/>
  <c r="S109" i="2"/>
  <c r="S139" i="2" s="1"/>
  <c r="AB108" i="2"/>
  <c r="AB138" i="2" s="1"/>
  <c r="AB109" i="2"/>
  <c r="AB139" i="2" s="1"/>
  <c r="E108" i="2"/>
  <c r="E138" i="2" s="1"/>
  <c r="E109" i="2"/>
  <c r="E139" i="2" s="1"/>
  <c r="H108" i="2"/>
  <c r="H138" i="2" s="1"/>
  <c r="H109" i="2"/>
  <c r="H139" i="2" s="1"/>
  <c r="X108" i="2"/>
  <c r="X138" i="2" s="1"/>
  <c r="X109" i="2"/>
  <c r="X139" i="2" s="1"/>
  <c r="B108" i="2"/>
  <c r="B138" i="2" s="1"/>
  <c r="B109" i="2"/>
  <c r="B139" i="2" s="1"/>
  <c r="K108" i="2"/>
  <c r="K138" i="2" s="1"/>
  <c r="K109" i="2"/>
  <c r="K139" i="2" s="1"/>
  <c r="AA108" i="2"/>
  <c r="AA138" i="2" s="1"/>
  <c r="AA109" i="2"/>
  <c r="AA139" i="2" s="1"/>
  <c r="T108" i="2"/>
  <c r="T138" i="2" s="1"/>
  <c r="T109" i="2"/>
  <c r="T139" i="2" s="1"/>
  <c r="AC108" i="2"/>
  <c r="AC138" i="2" s="1"/>
  <c r="AC109" i="2"/>
  <c r="AC139" i="2" s="1"/>
  <c r="N108" i="2"/>
  <c r="N138" i="2" s="1"/>
  <c r="N109" i="2"/>
  <c r="N139" i="2" s="1"/>
  <c r="O108" i="2"/>
  <c r="O138" i="2" s="1"/>
  <c r="O109" i="2"/>
  <c r="O139" i="2" s="1"/>
  <c r="Y108" i="2"/>
  <c r="Y138" i="2" s="1"/>
  <c r="Y109" i="2"/>
  <c r="Y139" i="2" s="1"/>
  <c r="U108" i="2"/>
  <c r="U138" i="2" s="1"/>
  <c r="U109" i="2"/>
  <c r="U139" i="2" s="1"/>
  <c r="F108" i="2"/>
  <c r="F138" i="2" s="1"/>
  <c r="F109" i="2"/>
  <c r="F139" i="2" s="1"/>
  <c r="G108" i="2"/>
  <c r="G138" i="2" s="1"/>
  <c r="G109" i="2"/>
  <c r="G139" i="2" s="1"/>
  <c r="P108" i="2"/>
  <c r="P138" i="2" s="1"/>
  <c r="P109" i="2"/>
  <c r="P139" i="2" s="1"/>
  <c r="I108" i="2"/>
  <c r="I138" i="2" s="1"/>
  <c r="I109" i="2"/>
  <c r="I139" i="2" s="1"/>
  <c r="Q108" i="2"/>
  <c r="Q138" i="2" s="1"/>
  <c r="Q109" i="2"/>
  <c r="Q139" i="2" s="1"/>
  <c r="J108" i="2"/>
  <c r="J138" i="2" s="1"/>
  <c r="J109" i="2"/>
  <c r="J139" i="2" s="1"/>
  <c r="R108" i="2"/>
  <c r="R138" i="2" s="1"/>
  <c r="R109" i="2"/>
  <c r="R139" i="2" s="1"/>
  <c r="Z108" i="2"/>
  <c r="Z138" i="2" s="1"/>
  <c r="Z109" i="2"/>
  <c r="Z139" i="2" s="1"/>
  <c r="AA106" i="2"/>
  <c r="AA136" i="2" s="1"/>
  <c r="AA107" i="2"/>
  <c r="AA137" i="2" s="1"/>
  <c r="T106" i="2"/>
  <c r="T136" i="2" s="1"/>
  <c r="T107" i="2"/>
  <c r="T137" i="2" s="1"/>
  <c r="U106" i="2"/>
  <c r="U136" i="2" s="1"/>
  <c r="U107" i="2"/>
  <c r="U137" i="2" s="1"/>
  <c r="AC106" i="2"/>
  <c r="AC136" i="2" s="1"/>
  <c r="AC107" i="2"/>
  <c r="AC137" i="2" s="1"/>
  <c r="C106" i="2"/>
  <c r="C136" i="2" s="1"/>
  <c r="C107" i="2"/>
  <c r="C137" i="2" s="1"/>
  <c r="D106" i="2"/>
  <c r="D136" i="2" s="1"/>
  <c r="D107" i="2"/>
  <c r="D137" i="2" s="1"/>
  <c r="E106" i="2"/>
  <c r="E136" i="2" s="1"/>
  <c r="E107" i="2"/>
  <c r="E137" i="2" s="1"/>
  <c r="AD106" i="2"/>
  <c r="AD136" i="2" s="1"/>
  <c r="AD107" i="2"/>
  <c r="AD137" i="2" s="1"/>
  <c r="K106" i="2"/>
  <c r="K136" i="2" s="1"/>
  <c r="K107" i="2"/>
  <c r="K137" i="2" s="1"/>
  <c r="L106" i="2"/>
  <c r="L136" i="2" s="1"/>
  <c r="L107" i="2"/>
  <c r="L137" i="2" s="1"/>
  <c r="F106" i="2"/>
  <c r="F136" i="2" s="1"/>
  <c r="F107" i="2"/>
  <c r="F137" i="2" s="1"/>
  <c r="G106" i="2"/>
  <c r="G136" i="2" s="1"/>
  <c r="G107" i="2"/>
  <c r="G137" i="2" s="1"/>
  <c r="O106" i="2"/>
  <c r="O136" i="2" s="1"/>
  <c r="O107" i="2"/>
  <c r="O137" i="2" s="1"/>
  <c r="AE106" i="2"/>
  <c r="AE136" i="2" s="1"/>
  <c r="AE107" i="2"/>
  <c r="AE137" i="2" s="1"/>
  <c r="H106" i="2"/>
  <c r="H136" i="2" s="1"/>
  <c r="H107" i="2"/>
  <c r="H137" i="2" s="1"/>
  <c r="S106" i="2"/>
  <c r="S136" i="2" s="1"/>
  <c r="S107" i="2"/>
  <c r="S137" i="2" s="1"/>
  <c r="AB106" i="2"/>
  <c r="AB136" i="2" s="1"/>
  <c r="AB107" i="2"/>
  <c r="AB137" i="2" s="1"/>
  <c r="M106" i="2"/>
  <c r="M136" i="2" s="1"/>
  <c r="M107" i="2"/>
  <c r="M137" i="2" s="1"/>
  <c r="N106" i="2"/>
  <c r="N136" i="2" s="1"/>
  <c r="N107" i="2"/>
  <c r="N137" i="2" s="1"/>
  <c r="P106" i="2"/>
  <c r="P136" i="2" s="1"/>
  <c r="P107" i="2"/>
  <c r="P137" i="2" s="1"/>
  <c r="X106" i="2"/>
  <c r="X136" i="2" s="1"/>
  <c r="X107" i="2"/>
  <c r="X137" i="2" s="1"/>
  <c r="B106" i="2"/>
  <c r="B136" i="2" s="1"/>
  <c r="B107" i="2"/>
  <c r="B137" i="2" s="1"/>
  <c r="I106" i="2"/>
  <c r="I136" i="2" s="1"/>
  <c r="I107" i="2"/>
  <c r="I137" i="2" s="1"/>
  <c r="Q106" i="2"/>
  <c r="Q136" i="2" s="1"/>
  <c r="Q107" i="2"/>
  <c r="Q137" i="2" s="1"/>
  <c r="Y106" i="2"/>
  <c r="Y136" i="2" s="1"/>
  <c r="Y107" i="2"/>
  <c r="Y137" i="2" s="1"/>
  <c r="J106" i="2"/>
  <c r="J136" i="2" s="1"/>
  <c r="J107" i="2"/>
  <c r="J137" i="2" s="1"/>
  <c r="R106" i="2"/>
  <c r="R136" i="2" s="1"/>
  <c r="R107" i="2"/>
  <c r="R137" i="2" s="1"/>
  <c r="Z106" i="2"/>
  <c r="Z136" i="2" s="1"/>
  <c r="Z107" i="2"/>
  <c r="Z137" i="2" s="1"/>
  <c r="AJ97" i="2"/>
  <c r="AJ127" i="2" s="1"/>
  <c r="AJ104" i="2"/>
  <c r="AJ134" i="2" s="1"/>
  <c r="L104" i="2"/>
  <c r="L134" i="2" s="1"/>
  <c r="L105" i="2"/>
  <c r="L135" i="2" s="1"/>
  <c r="D104" i="2"/>
  <c r="D134" i="2" s="1"/>
  <c r="D105" i="2"/>
  <c r="D135" i="2" s="1"/>
  <c r="AC103" i="2"/>
  <c r="AC133" i="2" s="1"/>
  <c r="AC104" i="2"/>
  <c r="AC134" i="2" s="1"/>
  <c r="AC105" i="2"/>
  <c r="AC135" i="2" s="1"/>
  <c r="AM103" i="2"/>
  <c r="AM133" i="2" s="1"/>
  <c r="AM104" i="2"/>
  <c r="AM134" i="2" s="1"/>
  <c r="G103" i="2"/>
  <c r="G133" i="2" s="1"/>
  <c r="G104" i="2"/>
  <c r="G134" i="2" s="1"/>
  <c r="G105" i="2"/>
  <c r="G135" i="2" s="1"/>
  <c r="T102" i="2"/>
  <c r="T132" i="2" s="1"/>
  <c r="T105" i="2"/>
  <c r="T135" i="2" s="1"/>
  <c r="T104" i="2"/>
  <c r="T134" i="2" s="1"/>
  <c r="E103" i="2"/>
  <c r="E133" i="2" s="1"/>
  <c r="E105" i="2"/>
  <c r="E135" i="2" s="1"/>
  <c r="E104" i="2"/>
  <c r="E134" i="2" s="1"/>
  <c r="F103" i="2"/>
  <c r="F133" i="2" s="1"/>
  <c r="F104" i="2"/>
  <c r="F134" i="2" s="1"/>
  <c r="F105" i="2"/>
  <c r="F135" i="2" s="1"/>
  <c r="AE103" i="2"/>
  <c r="AE133" i="2" s="1"/>
  <c r="AE104" i="2"/>
  <c r="AE134" i="2" s="1"/>
  <c r="AE105" i="2"/>
  <c r="AE135" i="2" s="1"/>
  <c r="H103" i="2"/>
  <c r="H133" i="2" s="1"/>
  <c r="H105" i="2"/>
  <c r="H135" i="2" s="1"/>
  <c r="H104" i="2"/>
  <c r="H134" i="2" s="1"/>
  <c r="P105" i="2"/>
  <c r="P135" i="2" s="1"/>
  <c r="P104" i="2"/>
  <c r="P134" i="2" s="1"/>
  <c r="X103" i="2"/>
  <c r="X133" i="2" s="1"/>
  <c r="X104" i="2"/>
  <c r="X134" i="2" s="1"/>
  <c r="X105" i="2"/>
  <c r="X135" i="2" s="1"/>
  <c r="AF103" i="2"/>
  <c r="AF133" i="2" s="1"/>
  <c r="AF104" i="2"/>
  <c r="AF134" i="2" s="1"/>
  <c r="B100" i="2"/>
  <c r="B130" i="2" s="1"/>
  <c r="B104" i="2"/>
  <c r="B134" i="2" s="1"/>
  <c r="B105" i="2"/>
  <c r="B135" i="2" s="1"/>
  <c r="M105" i="2"/>
  <c r="M135" i="2" s="1"/>
  <c r="M104" i="2"/>
  <c r="M134" i="2" s="1"/>
  <c r="AD102" i="2"/>
  <c r="AD132" i="2" s="1"/>
  <c r="AD105" i="2"/>
  <c r="AD135" i="2" s="1"/>
  <c r="AD104" i="2"/>
  <c r="AD134" i="2" s="1"/>
  <c r="O103" i="2"/>
  <c r="O133" i="2" s="1"/>
  <c r="O104" i="2"/>
  <c r="O134" i="2" s="1"/>
  <c r="O105" i="2"/>
  <c r="O135" i="2" s="1"/>
  <c r="Q100" i="2"/>
  <c r="Q130" i="2" s="1"/>
  <c r="Q104" i="2"/>
  <c r="Q134" i="2" s="1"/>
  <c r="Q105" i="2"/>
  <c r="Q135" i="2" s="1"/>
  <c r="AK102" i="2"/>
  <c r="AK132" i="2" s="1"/>
  <c r="AK104" i="2"/>
  <c r="AK134" i="2" s="1"/>
  <c r="AB101" i="2"/>
  <c r="AB131" i="2" s="1"/>
  <c r="AB104" i="2"/>
  <c r="AB134" i="2" s="1"/>
  <c r="AB105" i="2"/>
  <c r="AB135" i="2" s="1"/>
  <c r="U103" i="2"/>
  <c r="U133" i="2" s="1"/>
  <c r="U104" i="2"/>
  <c r="U134" i="2" s="1"/>
  <c r="U105" i="2"/>
  <c r="U135" i="2" s="1"/>
  <c r="N103" i="2"/>
  <c r="N133" i="2" s="1"/>
  <c r="N104" i="2"/>
  <c r="N134" i="2" s="1"/>
  <c r="N105" i="2"/>
  <c r="N135" i="2" s="1"/>
  <c r="AN103" i="2"/>
  <c r="AN133" i="2" s="1"/>
  <c r="AN104" i="2"/>
  <c r="AN134" i="2" s="1"/>
  <c r="Y105" i="2"/>
  <c r="Y135" i="2" s="1"/>
  <c r="Y104" i="2"/>
  <c r="Y134" i="2" s="1"/>
  <c r="Z102" i="2"/>
  <c r="Z132" i="2" s="1"/>
  <c r="Z105" i="2"/>
  <c r="Z135" i="2" s="1"/>
  <c r="Z104" i="2"/>
  <c r="Z134" i="2" s="1"/>
  <c r="AO103" i="2"/>
  <c r="AO133" i="2" s="1"/>
  <c r="AO104" i="2"/>
  <c r="AO134" i="2" s="1"/>
  <c r="AL101" i="2"/>
  <c r="AL131" i="2" s="1"/>
  <c r="AL104" i="2"/>
  <c r="AL134" i="2" s="1"/>
  <c r="I102" i="2"/>
  <c r="I132" i="2" s="1"/>
  <c r="I104" i="2"/>
  <c r="I134" i="2" s="1"/>
  <c r="I105" i="2"/>
  <c r="I135" i="2" s="1"/>
  <c r="AG103" i="2"/>
  <c r="AG133" i="2" s="1"/>
  <c r="AG104" i="2"/>
  <c r="AG134" i="2" s="1"/>
  <c r="J99" i="2"/>
  <c r="J129" i="2" s="1"/>
  <c r="J104" i="2"/>
  <c r="J134" i="2" s="1"/>
  <c r="J105" i="2"/>
  <c r="J135" i="2" s="1"/>
  <c r="R95" i="2"/>
  <c r="R125" i="2" s="1"/>
  <c r="R104" i="2"/>
  <c r="R134" i="2" s="1"/>
  <c r="R105" i="2"/>
  <c r="R135" i="2" s="1"/>
  <c r="AH102" i="2"/>
  <c r="AH132" i="2" s="1"/>
  <c r="AH104" i="2"/>
  <c r="AH134" i="2" s="1"/>
  <c r="C101" i="2"/>
  <c r="C131" i="2" s="1"/>
  <c r="C105" i="2"/>
  <c r="C135" i="2" s="1"/>
  <c r="C104" i="2"/>
  <c r="C134" i="2" s="1"/>
  <c r="K101" i="2"/>
  <c r="K131" i="2" s="1"/>
  <c r="K105" i="2"/>
  <c r="K135" i="2" s="1"/>
  <c r="K104" i="2"/>
  <c r="K134" i="2" s="1"/>
  <c r="S103" i="2"/>
  <c r="S133" i="2" s="1"/>
  <c r="S105" i="2"/>
  <c r="S135" i="2" s="1"/>
  <c r="S104" i="2"/>
  <c r="S134" i="2" s="1"/>
  <c r="AA95" i="2"/>
  <c r="AA125" i="2" s="1"/>
  <c r="AA104" i="2"/>
  <c r="AA134" i="2" s="1"/>
  <c r="AA105" i="2"/>
  <c r="AA135" i="2" s="1"/>
  <c r="AI99" i="2"/>
  <c r="AI129" i="2" s="1"/>
  <c r="AI104" i="2"/>
  <c r="AI134" i="2" s="1"/>
  <c r="P103" i="2"/>
  <c r="P133" i="2" s="1"/>
  <c r="K103" i="2"/>
  <c r="K133" i="2" s="1"/>
  <c r="R103" i="2"/>
  <c r="R133" i="2" s="1"/>
  <c r="J103" i="2"/>
  <c r="J133" i="2" s="1"/>
  <c r="I103" i="2"/>
  <c r="I133" i="2" s="1"/>
  <c r="AI103" i="2"/>
  <c r="AI133" i="2" s="1"/>
  <c r="T103" i="2"/>
  <c r="T133" i="2" s="1"/>
  <c r="Y101" i="2"/>
  <c r="Y131" i="2" s="1"/>
  <c r="Y103" i="2"/>
  <c r="Y133" i="2" s="1"/>
  <c r="Q103" i="2"/>
  <c r="Q133" i="2" s="1"/>
  <c r="AL103" i="2"/>
  <c r="AL133" i="2" s="1"/>
  <c r="Z103" i="2"/>
  <c r="Z133" i="2" s="1"/>
  <c r="D102" i="2"/>
  <c r="D132" i="2" s="1"/>
  <c r="D103" i="2"/>
  <c r="D133" i="2" s="1"/>
  <c r="L102" i="2"/>
  <c r="L132" i="2" s="1"/>
  <c r="L103" i="2"/>
  <c r="L133" i="2" s="1"/>
  <c r="AB103" i="2"/>
  <c r="AB133" i="2" s="1"/>
  <c r="AA103" i="2"/>
  <c r="AA133" i="2" s="1"/>
  <c r="B103" i="2"/>
  <c r="B133" i="2" s="1"/>
  <c r="M101" i="2"/>
  <c r="M131" i="2" s="1"/>
  <c r="M103" i="2"/>
  <c r="M133" i="2" s="1"/>
  <c r="AJ103" i="2"/>
  <c r="AJ133" i="2" s="1"/>
  <c r="AK103" i="2"/>
  <c r="AK133" i="2" s="1"/>
  <c r="C103" i="2"/>
  <c r="C133" i="2" s="1"/>
  <c r="AD103" i="2"/>
  <c r="AD133" i="2" s="1"/>
  <c r="AH103" i="2"/>
  <c r="AH133" i="2" s="1"/>
  <c r="L101" i="2"/>
  <c r="L131" i="2" s="1"/>
  <c r="M102" i="2"/>
  <c r="M132" i="2" s="1"/>
  <c r="AA102" i="2"/>
  <c r="AA132" i="2" s="1"/>
  <c r="R102" i="2"/>
  <c r="R132" i="2" s="1"/>
  <c r="C102" i="2"/>
  <c r="C132" i="2" s="1"/>
  <c r="J102" i="2"/>
  <c r="J132" i="2" s="1"/>
  <c r="K102" i="2"/>
  <c r="K132" i="2" s="1"/>
  <c r="AI102" i="2"/>
  <c r="AI132" i="2" s="1"/>
  <c r="D101" i="2"/>
  <c r="D131" i="2" s="1"/>
  <c r="AA101" i="2"/>
  <c r="AA131" i="2" s="1"/>
  <c r="G100" i="2"/>
  <c r="G130" i="2" s="1"/>
  <c r="G101" i="2"/>
  <c r="G131" i="2" s="1"/>
  <c r="F101" i="2"/>
  <c r="F131" i="2" s="1"/>
  <c r="F102" i="2"/>
  <c r="F132" i="2" s="1"/>
  <c r="N101" i="2"/>
  <c r="N131" i="2" s="1"/>
  <c r="N102" i="2"/>
  <c r="N132" i="2" s="1"/>
  <c r="AM100" i="2"/>
  <c r="AM130" i="2" s="1"/>
  <c r="AM101" i="2"/>
  <c r="AM131" i="2" s="1"/>
  <c r="AM102" i="2"/>
  <c r="AM132" i="2" s="1"/>
  <c r="Q102" i="2"/>
  <c r="Q132" i="2" s="1"/>
  <c r="G102" i="2"/>
  <c r="G132" i="2" s="1"/>
  <c r="I101" i="2"/>
  <c r="I131" i="2" s="1"/>
  <c r="O95" i="2"/>
  <c r="O125" i="2" s="1"/>
  <c r="O101" i="2"/>
  <c r="O131" i="2" s="1"/>
  <c r="H89" i="2"/>
  <c r="H119" i="2" s="1"/>
  <c r="H102" i="2"/>
  <c r="H132" i="2" s="1"/>
  <c r="H101" i="2"/>
  <c r="H131" i="2" s="1"/>
  <c r="AF98" i="2"/>
  <c r="AF128" i="2" s="1"/>
  <c r="AF101" i="2"/>
  <c r="AF131" i="2" s="1"/>
  <c r="AK89" i="2"/>
  <c r="AK119" i="2" s="1"/>
  <c r="AK101" i="2"/>
  <c r="AK131" i="2" s="1"/>
  <c r="T101" i="2"/>
  <c r="T131" i="2" s="1"/>
  <c r="O102" i="2"/>
  <c r="O132" i="2" s="1"/>
  <c r="B101" i="2"/>
  <c r="B131" i="2" s="1"/>
  <c r="X89" i="2"/>
  <c r="X119" i="2" s="1"/>
  <c r="X101" i="2"/>
  <c r="X131" i="2" s="1"/>
  <c r="AD101" i="2"/>
  <c r="AD131" i="2" s="1"/>
  <c r="Q101" i="2"/>
  <c r="Q131" i="2" s="1"/>
  <c r="R101" i="2"/>
  <c r="R131" i="2" s="1"/>
  <c r="AE99" i="2"/>
  <c r="AE129" i="2" s="1"/>
  <c r="AE101" i="2"/>
  <c r="AE131" i="2" s="1"/>
  <c r="AE102" i="2"/>
  <c r="AE132" i="2" s="1"/>
  <c r="AH99" i="2"/>
  <c r="AH129" i="2" s="1"/>
  <c r="AH101" i="2"/>
  <c r="AH131" i="2" s="1"/>
  <c r="S96" i="2"/>
  <c r="S126" i="2" s="1"/>
  <c r="S101" i="2"/>
  <c r="S131" i="2" s="1"/>
  <c r="S102" i="2"/>
  <c r="S132" i="2" s="1"/>
  <c r="AB100" i="2"/>
  <c r="AB130" i="2" s="1"/>
  <c r="AB102" i="2"/>
  <c r="AB132" i="2" s="1"/>
  <c r="X102" i="2"/>
  <c r="X132" i="2" s="1"/>
  <c r="AI101" i="2"/>
  <c r="AI131" i="2" s="1"/>
  <c r="AJ101" i="2"/>
  <c r="AJ131" i="2" s="1"/>
  <c r="AN100" i="2"/>
  <c r="AN130" i="2" s="1"/>
  <c r="AN101" i="2"/>
  <c r="AN131" i="2" s="1"/>
  <c r="AN102" i="2"/>
  <c r="AN132" i="2" s="1"/>
  <c r="P89" i="2"/>
  <c r="P119" i="2" s="1"/>
  <c r="P101" i="2"/>
  <c r="P131" i="2" s="1"/>
  <c r="P102" i="2"/>
  <c r="P132" i="2" s="1"/>
  <c r="AG89" i="2"/>
  <c r="AG119" i="2" s="1"/>
  <c r="AG101" i="2"/>
  <c r="AG131" i="2" s="1"/>
  <c r="AG102" i="2"/>
  <c r="AG132" i="2" s="1"/>
  <c r="Y102" i="2"/>
  <c r="Y132" i="2" s="1"/>
  <c r="Z95" i="2"/>
  <c r="Z125" i="2" s="1"/>
  <c r="Z101" i="2"/>
  <c r="Z131" i="2" s="1"/>
  <c r="AO89" i="2"/>
  <c r="AO119" i="2" s="1"/>
  <c r="AO101" i="2"/>
  <c r="AO131" i="2" s="1"/>
  <c r="AO102" i="2"/>
  <c r="AO132" i="2" s="1"/>
  <c r="E89" i="2"/>
  <c r="E101" i="2"/>
  <c r="E131" i="2" s="1"/>
  <c r="U102" i="2"/>
  <c r="U132" i="2" s="1"/>
  <c r="U101" i="2"/>
  <c r="U131" i="2" s="1"/>
  <c r="AC100" i="2"/>
  <c r="AC130" i="2" s="1"/>
  <c r="AC101" i="2"/>
  <c r="AC131" i="2" s="1"/>
  <c r="AC102" i="2"/>
  <c r="AC132" i="2" s="1"/>
  <c r="AL100" i="2"/>
  <c r="AL130" i="2" s="1"/>
  <c r="AL102" i="2"/>
  <c r="AL132" i="2" s="1"/>
  <c r="AF102" i="2"/>
  <c r="AF132" i="2" s="1"/>
  <c r="AJ102" i="2"/>
  <c r="AJ132" i="2" s="1"/>
  <c r="J101" i="2"/>
  <c r="J131" i="2" s="1"/>
  <c r="E102" i="2"/>
  <c r="E132" i="2" s="1"/>
  <c r="B102" i="2"/>
  <c r="B132" i="2" s="1"/>
  <c r="AI91" i="2"/>
  <c r="AI121" i="2" s="1"/>
  <c r="B90" i="2"/>
  <c r="B120" i="2" s="1"/>
  <c r="AA100" i="2"/>
  <c r="AA130" i="2" s="1"/>
  <c r="AI100" i="2"/>
  <c r="AI130" i="2" s="1"/>
  <c r="H90" i="2"/>
  <c r="H120" i="2" s="1"/>
  <c r="B91" i="2"/>
  <c r="B121" i="2" s="1"/>
  <c r="P90" i="2"/>
  <c r="P120" i="2" s="1"/>
  <c r="X90" i="2"/>
  <c r="X120" i="2" s="1"/>
  <c r="R99" i="2"/>
  <c r="R129" i="2" s="1"/>
  <c r="AJ100" i="2"/>
  <c r="AJ130" i="2" s="1"/>
  <c r="AF90" i="2"/>
  <c r="AF120" i="2" s="1"/>
  <c r="O100" i="2"/>
  <c r="O130" i="2" s="1"/>
  <c r="AE100" i="2"/>
  <c r="AE130" i="2" s="1"/>
  <c r="AN90" i="2"/>
  <c r="AN120" i="2" s="1"/>
  <c r="G99" i="2"/>
  <c r="G129" i="2" s="1"/>
  <c r="Y89" i="2"/>
  <c r="Y119" i="2" s="1"/>
  <c r="Y99" i="2"/>
  <c r="Y129" i="2" s="1"/>
  <c r="AG99" i="2"/>
  <c r="AG129" i="2" s="1"/>
  <c r="L89" i="2"/>
  <c r="L99" i="2"/>
  <c r="L129" i="2" s="1"/>
  <c r="T89" i="2"/>
  <c r="T119" i="2" s="1"/>
  <c r="T99" i="2"/>
  <c r="T129" i="2" s="1"/>
  <c r="AB97" i="2"/>
  <c r="AB127" i="2" s="1"/>
  <c r="AB99" i="2"/>
  <c r="AB129" i="2" s="1"/>
  <c r="V90" i="2"/>
  <c r="V120" i="2" s="1"/>
  <c r="AD90" i="2"/>
  <c r="AD120" i="2" s="1"/>
  <c r="AO91" i="2"/>
  <c r="AO121" i="2" s="1"/>
  <c r="U92" i="2"/>
  <c r="U122" i="2" s="1"/>
  <c r="M92" i="2"/>
  <c r="M122" i="2" s="1"/>
  <c r="E92" i="2"/>
  <c r="E122" i="2" s="1"/>
  <c r="AK92" i="2"/>
  <c r="AK122" i="2" s="1"/>
  <c r="AC92" i="2"/>
  <c r="AC122" i="2" s="1"/>
  <c r="Z94" i="2"/>
  <c r="Z124" i="2" s="1"/>
  <c r="R94" i="2"/>
  <c r="R124" i="2" s="1"/>
  <c r="J94" i="2"/>
  <c r="J124" i="2" s="1"/>
  <c r="B94" i="2"/>
  <c r="B124" i="2" s="1"/>
  <c r="S93" i="2"/>
  <c r="S123" i="2" s="1"/>
  <c r="K93" i="2"/>
  <c r="K123" i="2" s="1"/>
  <c r="C93" i="2"/>
  <c r="C123" i="2" s="1"/>
  <c r="X100" i="2"/>
  <c r="X130" i="2" s="1"/>
  <c r="AA99" i="2"/>
  <c r="AA129" i="2" s="1"/>
  <c r="P100" i="2"/>
  <c r="P130" i="2" s="1"/>
  <c r="E100" i="2"/>
  <c r="E130" i="2" s="1"/>
  <c r="Z99" i="2"/>
  <c r="Z129" i="2" s="1"/>
  <c r="R100" i="2"/>
  <c r="R130" i="2" s="1"/>
  <c r="AH100" i="2"/>
  <c r="AH130" i="2" s="1"/>
  <c r="H100" i="2"/>
  <c r="H130" i="2" s="1"/>
  <c r="D89" i="2"/>
  <c r="D119" i="2" s="1"/>
  <c r="D99" i="2"/>
  <c r="D129" i="2" s="1"/>
  <c r="M89" i="2"/>
  <c r="M99" i="2"/>
  <c r="M129" i="2" s="1"/>
  <c r="U89" i="2"/>
  <c r="U99" i="2"/>
  <c r="U129" i="2" s="1"/>
  <c r="AC89" i="2"/>
  <c r="AC119" i="2" s="1"/>
  <c r="AC99" i="2"/>
  <c r="AC129" i="2" s="1"/>
  <c r="AL94" i="2"/>
  <c r="AL124" i="2" s="1"/>
  <c r="M90" i="2"/>
  <c r="M120" i="2" s="1"/>
  <c r="AK90" i="2"/>
  <c r="AK120" i="2" s="1"/>
  <c r="O91" i="2"/>
  <c r="O121" i="2" s="1"/>
  <c r="G91" i="2"/>
  <c r="G121" i="2" s="1"/>
  <c r="Y94" i="2"/>
  <c r="Y124" i="2" s="1"/>
  <c r="Q94" i="2"/>
  <c r="Q124" i="2" s="1"/>
  <c r="I94" i="2"/>
  <c r="I124" i="2" s="1"/>
  <c r="Z93" i="2"/>
  <c r="Z123" i="2" s="1"/>
  <c r="R93" i="2"/>
  <c r="R123" i="2" s="1"/>
  <c r="B93" i="2"/>
  <c r="B123" i="2" s="1"/>
  <c r="AG93" i="2"/>
  <c r="AG123" i="2" s="1"/>
  <c r="AF100" i="2"/>
  <c r="AF130" i="2" s="1"/>
  <c r="Y100" i="2"/>
  <c r="Y130" i="2" s="1"/>
  <c r="D100" i="2"/>
  <c r="D130" i="2" s="1"/>
  <c r="AK99" i="2"/>
  <c r="AK129" i="2" s="1"/>
  <c r="U100" i="2"/>
  <c r="U130" i="2" s="1"/>
  <c r="AL99" i="2"/>
  <c r="AL129" i="2" s="1"/>
  <c r="AF99" i="2"/>
  <c r="AF129" i="2" s="1"/>
  <c r="I89" i="2"/>
  <c r="I99" i="2"/>
  <c r="I129" i="2" s="1"/>
  <c r="K95" i="2"/>
  <c r="K125" i="2" s="1"/>
  <c r="K100" i="2"/>
  <c r="K130" i="2" s="1"/>
  <c r="K99" i="2"/>
  <c r="K129" i="2" s="1"/>
  <c r="F97" i="2"/>
  <c r="F127" i="2" s="1"/>
  <c r="F99" i="2"/>
  <c r="F129" i="2" s="1"/>
  <c r="F100" i="2"/>
  <c r="F130" i="2" s="1"/>
  <c r="AD93" i="2"/>
  <c r="AD123" i="2" s="1"/>
  <c r="AD99" i="2"/>
  <c r="AD129" i="2" s="1"/>
  <c r="S92" i="2"/>
  <c r="S122" i="2" s="1"/>
  <c r="K92" i="2"/>
  <c r="K122" i="2" s="1"/>
  <c r="C92" i="2"/>
  <c r="C122" i="2" s="1"/>
  <c r="AI92" i="2"/>
  <c r="AI122" i="2" s="1"/>
  <c r="AA92" i="2"/>
  <c r="AA122" i="2" s="1"/>
  <c r="X94" i="2"/>
  <c r="X124" i="2" s="1"/>
  <c r="P94" i="2"/>
  <c r="P124" i="2" s="1"/>
  <c r="H94" i="2"/>
  <c r="H124" i="2" s="1"/>
  <c r="Y93" i="2"/>
  <c r="Y123" i="2" s="1"/>
  <c r="Q93" i="2"/>
  <c r="Q123" i="2" s="1"/>
  <c r="I93" i="2"/>
  <c r="I123" i="2" s="1"/>
  <c r="AG94" i="2"/>
  <c r="AG124" i="2" s="1"/>
  <c r="AN93" i="2"/>
  <c r="AN123" i="2" s="1"/>
  <c r="AF93" i="2"/>
  <c r="AF123" i="2" s="1"/>
  <c r="AG100" i="2"/>
  <c r="AG130" i="2" s="1"/>
  <c r="L100" i="2"/>
  <c r="L130" i="2" s="1"/>
  <c r="O99" i="2"/>
  <c r="O129" i="2" s="1"/>
  <c r="S99" i="2"/>
  <c r="S129" i="2" s="1"/>
  <c r="P99" i="2"/>
  <c r="P129" i="2" s="1"/>
  <c r="Q89" i="2"/>
  <c r="Q119" i="2" s="1"/>
  <c r="Q99" i="2"/>
  <c r="Q129" i="2" s="1"/>
  <c r="I100" i="2"/>
  <c r="I130" i="2" s="1"/>
  <c r="J90" i="2"/>
  <c r="J120" i="2" s="1"/>
  <c r="J100" i="2"/>
  <c r="J130" i="2" s="1"/>
  <c r="Z100" i="2"/>
  <c r="Z130" i="2" s="1"/>
  <c r="AK100" i="2"/>
  <c r="AK130" i="2" s="1"/>
  <c r="C95" i="2"/>
  <c r="C125" i="2" s="1"/>
  <c r="C99" i="2"/>
  <c r="C129" i="2" s="1"/>
  <c r="N97" i="2"/>
  <c r="N127" i="2" s="1"/>
  <c r="N99" i="2"/>
  <c r="N129" i="2" s="1"/>
  <c r="N100" i="2"/>
  <c r="N130" i="2" s="1"/>
  <c r="V97" i="2"/>
  <c r="V127" i="2" s="1"/>
  <c r="V99" i="2"/>
  <c r="V129" i="2" s="1"/>
  <c r="AM94" i="2"/>
  <c r="AM124" i="2" s="1"/>
  <c r="AM99" i="2"/>
  <c r="AM129" i="2" s="1"/>
  <c r="AN89" i="2"/>
  <c r="AN119" i="2" s="1"/>
  <c r="AN99" i="2"/>
  <c r="AN129" i="2" s="1"/>
  <c r="S90" i="2"/>
  <c r="S120" i="2" s="1"/>
  <c r="AI90" i="2"/>
  <c r="AI120" i="2" s="1"/>
  <c r="AA90" i="2"/>
  <c r="AA120" i="2" s="1"/>
  <c r="B92" i="2"/>
  <c r="B122" i="2" s="1"/>
  <c r="S100" i="2"/>
  <c r="S130" i="2" s="1"/>
  <c r="AO100" i="2"/>
  <c r="AO130" i="2" s="1"/>
  <c r="AJ99" i="2"/>
  <c r="AJ129" i="2" s="1"/>
  <c r="M100" i="2"/>
  <c r="M130" i="2" s="1"/>
  <c r="X99" i="2"/>
  <c r="X129" i="2" s="1"/>
  <c r="AO99" i="2"/>
  <c r="AO129" i="2" s="1"/>
  <c r="AD100" i="2"/>
  <c r="AD130" i="2" s="1"/>
  <c r="C100" i="2"/>
  <c r="C130" i="2" s="1"/>
  <c r="H99" i="2"/>
  <c r="H129" i="2" s="1"/>
  <c r="T100" i="2"/>
  <c r="T130" i="2" s="1"/>
  <c r="B99" i="2"/>
  <c r="B129" i="2" s="1"/>
  <c r="E99" i="2"/>
  <c r="E129" i="2" s="1"/>
  <c r="U90" i="2"/>
  <c r="U120" i="2" s="1"/>
  <c r="AC90" i="2"/>
  <c r="AC120" i="2" s="1"/>
  <c r="L92" i="2"/>
  <c r="L122" i="2" s="1"/>
  <c r="J93" i="2"/>
  <c r="J123" i="2" s="1"/>
  <c r="AH94" i="2"/>
  <c r="AH124" i="2" s="1"/>
  <c r="AO93" i="2"/>
  <c r="AO123" i="2" s="1"/>
  <c r="D92" i="2"/>
  <c r="D122" i="2" s="1"/>
  <c r="T90" i="2"/>
  <c r="T120" i="2" s="1"/>
  <c r="AM91" i="2"/>
  <c r="AM121" i="2" s="1"/>
  <c r="AB92" i="2"/>
  <c r="AB122" i="2" s="1"/>
  <c r="AB90" i="2"/>
  <c r="AB120" i="2" s="1"/>
  <c r="V91" i="2"/>
  <c r="V121" i="2" s="1"/>
  <c r="W91" i="2"/>
  <c r="W121" i="2" s="1"/>
  <c r="AC91" i="2"/>
  <c r="AC121" i="2" s="1"/>
  <c r="AH92" i="2"/>
  <c r="AH122" i="2" s="1"/>
  <c r="Z92" i="2"/>
  <c r="Z122" i="2" s="1"/>
  <c r="W94" i="2"/>
  <c r="W124" i="2" s="1"/>
  <c r="O94" i="2"/>
  <c r="O124" i="2" s="1"/>
  <c r="G94" i="2"/>
  <c r="G124" i="2" s="1"/>
  <c r="X93" i="2"/>
  <c r="X123" i="2" s="1"/>
  <c r="P93" i="2"/>
  <c r="P123" i="2" s="1"/>
  <c r="H93" i="2"/>
  <c r="H123" i="2" s="1"/>
  <c r="AF94" i="2"/>
  <c r="AF124" i="2" s="1"/>
  <c r="AM93" i="2"/>
  <c r="AM123" i="2" s="1"/>
  <c r="AE93" i="2"/>
  <c r="AE123" i="2" s="1"/>
  <c r="E90" i="2"/>
  <c r="E120" i="2" s="1"/>
  <c r="D90" i="2"/>
  <c r="D120" i="2" s="1"/>
  <c r="AD91" i="2"/>
  <c r="AD121" i="2" s="1"/>
  <c r="E91" i="2"/>
  <c r="E121" i="2" s="1"/>
  <c r="AL91" i="2"/>
  <c r="AL121" i="2" s="1"/>
  <c r="R92" i="2"/>
  <c r="R122" i="2" s="1"/>
  <c r="R90" i="2"/>
  <c r="R120" i="2" s="1"/>
  <c r="Z90" i="2"/>
  <c r="Z120" i="2" s="1"/>
  <c r="L91" i="2"/>
  <c r="L121" i="2" s="1"/>
  <c r="D91" i="2"/>
  <c r="D121" i="2" s="1"/>
  <c r="AK91" i="2"/>
  <c r="AK121" i="2" s="1"/>
  <c r="Q92" i="2"/>
  <c r="Q122" i="2" s="1"/>
  <c r="I92" i="2"/>
  <c r="I122" i="2" s="1"/>
  <c r="AO92" i="2"/>
  <c r="AO122" i="2" s="1"/>
  <c r="AG92" i="2"/>
  <c r="AG122" i="2" s="1"/>
  <c r="Y92" i="2"/>
  <c r="Y122" i="2" s="1"/>
  <c r="V94" i="2"/>
  <c r="V124" i="2" s="1"/>
  <c r="N94" i="2"/>
  <c r="N124" i="2" s="1"/>
  <c r="F94" i="2"/>
  <c r="F124" i="2" s="1"/>
  <c r="W93" i="2"/>
  <c r="W123" i="2" s="1"/>
  <c r="O93" i="2"/>
  <c r="O123" i="2" s="1"/>
  <c r="G93" i="2"/>
  <c r="G123" i="2" s="1"/>
  <c r="T92" i="2"/>
  <c r="T122" i="2" s="1"/>
  <c r="L90" i="2"/>
  <c r="L120" i="2" s="1"/>
  <c r="F91" i="2"/>
  <c r="F121" i="2" s="1"/>
  <c r="AE91" i="2"/>
  <c r="AE121" i="2" s="1"/>
  <c r="K90" i="2"/>
  <c r="K120" i="2" s="1"/>
  <c r="C90" i="2"/>
  <c r="C120" i="2" s="1"/>
  <c r="M91" i="2"/>
  <c r="M121" i="2" s="1"/>
  <c r="U91" i="2"/>
  <c r="U121" i="2" s="1"/>
  <c r="J92" i="2"/>
  <c r="J122" i="2" s="1"/>
  <c r="Q90" i="2"/>
  <c r="Q120" i="2" s="1"/>
  <c r="I90" i="2"/>
  <c r="I120" i="2" s="1"/>
  <c r="AO90" i="2"/>
  <c r="AO120" i="2" s="1"/>
  <c r="AG90" i="2"/>
  <c r="AG120" i="2" s="1"/>
  <c r="Y90" i="2"/>
  <c r="Y120" i="2" s="1"/>
  <c r="K91" i="2"/>
  <c r="K121" i="2" s="1"/>
  <c r="C91" i="2"/>
  <c r="C121" i="2" s="1"/>
  <c r="AA91" i="2"/>
  <c r="AA121" i="2" s="1"/>
  <c r="S91" i="2"/>
  <c r="S121" i="2" s="1"/>
  <c r="P92" i="2"/>
  <c r="P122" i="2" s="1"/>
  <c r="H92" i="2"/>
  <c r="H122" i="2" s="1"/>
  <c r="AN92" i="2"/>
  <c r="AN122" i="2" s="1"/>
  <c r="AF92" i="2"/>
  <c r="AF122" i="2" s="1"/>
  <c r="X92" i="2"/>
  <c r="X122" i="2" s="1"/>
  <c r="U94" i="2"/>
  <c r="U124" i="2" s="1"/>
  <c r="M94" i="2"/>
  <c r="M124" i="2" s="1"/>
  <c r="E94" i="2"/>
  <c r="E124" i="2" s="1"/>
  <c r="V93" i="2"/>
  <c r="V123" i="2" s="1"/>
  <c r="N93" i="2"/>
  <c r="N123" i="2" s="1"/>
  <c r="F93" i="2"/>
  <c r="F123" i="2" s="1"/>
  <c r="AJ92" i="2"/>
  <c r="AJ122" i="2" s="1"/>
  <c r="N91" i="2"/>
  <c r="N121" i="2" s="1"/>
  <c r="J91" i="2"/>
  <c r="J121" i="2" s="1"/>
  <c r="Z91" i="2"/>
  <c r="Z121" i="2" s="1"/>
  <c r="R91" i="2"/>
  <c r="R121" i="2" s="1"/>
  <c r="O92" i="2"/>
  <c r="O122" i="2" s="1"/>
  <c r="G92" i="2"/>
  <c r="G122" i="2" s="1"/>
  <c r="AM92" i="2"/>
  <c r="AM122" i="2" s="1"/>
  <c r="AE92" i="2"/>
  <c r="AE122" i="2" s="1"/>
  <c r="W92" i="2"/>
  <c r="W122" i="2" s="1"/>
  <c r="T94" i="2"/>
  <c r="T124" i="2" s="1"/>
  <c r="L94" i="2"/>
  <c r="L124" i="2" s="1"/>
  <c r="D94" i="2"/>
  <c r="D124" i="2" s="1"/>
  <c r="U93" i="2"/>
  <c r="U123" i="2" s="1"/>
  <c r="M93" i="2"/>
  <c r="M123" i="2" s="1"/>
  <c r="E93" i="2"/>
  <c r="E123" i="2" s="1"/>
  <c r="AK94" i="2"/>
  <c r="AK124" i="2" s="1"/>
  <c r="AC94" i="2"/>
  <c r="AC124" i="2" s="1"/>
  <c r="AJ93" i="2"/>
  <c r="AJ123" i="2" s="1"/>
  <c r="AB93" i="2"/>
  <c r="AB123" i="2" s="1"/>
  <c r="AJ90" i="2"/>
  <c r="AJ120" i="2" s="1"/>
  <c r="AH93" i="2"/>
  <c r="AH123" i="2" s="1"/>
  <c r="AI94" i="2"/>
  <c r="AI124" i="2" s="1"/>
  <c r="W90" i="2"/>
  <c r="W120" i="2" s="1"/>
  <c r="O90" i="2"/>
  <c r="O120" i="2" s="1"/>
  <c r="G90" i="2"/>
  <c r="G120" i="2" s="1"/>
  <c r="AM90" i="2"/>
  <c r="AM120" i="2" s="1"/>
  <c r="AE90" i="2"/>
  <c r="AE120" i="2" s="1"/>
  <c r="AG91" i="2"/>
  <c r="AG121" i="2" s="1"/>
  <c r="Y91" i="2"/>
  <c r="Y121" i="2" s="1"/>
  <c r="AH91" i="2"/>
  <c r="AH121" i="2" s="1"/>
  <c r="N92" i="2"/>
  <c r="N122" i="2" s="1"/>
  <c r="F92" i="2"/>
  <c r="F122" i="2" s="1"/>
  <c r="AL92" i="2"/>
  <c r="AL122" i="2" s="1"/>
  <c r="AD92" i="2"/>
  <c r="AD122" i="2" s="1"/>
  <c r="V92" i="2"/>
  <c r="V122" i="2" s="1"/>
  <c r="S94" i="2"/>
  <c r="S124" i="2" s="1"/>
  <c r="K94" i="2"/>
  <c r="K124" i="2" s="1"/>
  <c r="C94" i="2"/>
  <c r="C124" i="2" s="1"/>
  <c r="T93" i="2"/>
  <c r="T123" i="2" s="1"/>
  <c r="L93" i="2"/>
  <c r="L123" i="2" s="1"/>
  <c r="D93" i="2"/>
  <c r="D123" i="2" s="1"/>
  <c r="AJ94" i="2"/>
  <c r="AJ124" i="2" s="1"/>
  <c r="AB94" i="2"/>
  <c r="AB124" i="2" s="1"/>
  <c r="AI93" i="2"/>
  <c r="AI123" i="2" s="1"/>
  <c r="AA93" i="2"/>
  <c r="AA123" i="2" s="1"/>
  <c r="N90" i="2"/>
  <c r="N120" i="2" s="1"/>
  <c r="F90" i="2"/>
  <c r="F120" i="2" s="1"/>
  <c r="AL90" i="2"/>
  <c r="AL120" i="2" s="1"/>
  <c r="Q91" i="2"/>
  <c r="Q121" i="2" s="1"/>
  <c r="I91" i="2"/>
  <c r="I121" i="2" s="1"/>
  <c r="AN91" i="2"/>
  <c r="AN121" i="2" s="1"/>
  <c r="AF91" i="2"/>
  <c r="AF121" i="2" s="1"/>
  <c r="X91" i="2"/>
  <c r="X121" i="2" s="1"/>
  <c r="AO94" i="2"/>
  <c r="AO124" i="2" s="1"/>
  <c r="AE94" i="2"/>
  <c r="AE124" i="2" s="1"/>
  <c r="AL93" i="2"/>
  <c r="AL123" i="2" s="1"/>
  <c r="AN96" i="2"/>
  <c r="AN126" i="2" s="1"/>
  <c r="AL98" i="2"/>
  <c r="AL128" i="2" s="1"/>
  <c r="AJ96" i="2"/>
  <c r="AJ126" i="2" s="1"/>
  <c r="X97" i="2"/>
  <c r="X127" i="2" s="1"/>
  <c r="H98" i="2"/>
  <c r="H128" i="2" s="1"/>
  <c r="AG95" i="2"/>
  <c r="AG125" i="2" s="1"/>
  <c r="W96" i="2"/>
  <c r="W126" i="2" s="1"/>
  <c r="AB95" i="2"/>
  <c r="AB125" i="2" s="1"/>
  <c r="J98" i="2"/>
  <c r="J128" i="2" s="1"/>
  <c r="AE96" i="2"/>
  <c r="AE126" i="2" s="1"/>
  <c r="AN98" i="2"/>
  <c r="AN128" i="2" s="1"/>
  <c r="T95" i="2"/>
  <c r="T125" i="2" s="1"/>
  <c r="AD89" i="2"/>
  <c r="AD97" i="2"/>
  <c r="AD127" i="2" s="1"/>
  <c r="AM89" i="2"/>
  <c r="AM119" i="2" s="1"/>
  <c r="AM98" i="2"/>
  <c r="AM128" i="2" s="1"/>
  <c r="AM97" i="2"/>
  <c r="AM127" i="2" s="1"/>
  <c r="AM96" i="2"/>
  <c r="AM126" i="2" s="1"/>
  <c r="P91" i="2"/>
  <c r="P121" i="2" s="1"/>
  <c r="H91" i="2"/>
  <c r="H121" i="2" s="1"/>
  <c r="AN94" i="2"/>
  <c r="AN124" i="2" s="1"/>
  <c r="AD94" i="2"/>
  <c r="AD124" i="2" s="1"/>
  <c r="AK93" i="2"/>
  <c r="AK123" i="2" s="1"/>
  <c r="AC93" i="2"/>
  <c r="AC123" i="2" s="1"/>
  <c r="R96" i="2"/>
  <c r="R126" i="2" s="1"/>
  <c r="P98" i="2"/>
  <c r="P128" i="2" s="1"/>
  <c r="AI95" i="2"/>
  <c r="AI125" i="2" s="1"/>
  <c r="AF97" i="2"/>
  <c r="AF127" i="2" s="1"/>
  <c r="AG96" i="2"/>
  <c r="AG126" i="2" s="1"/>
  <c r="Q95" i="2"/>
  <c r="Q125" i="2" s="1"/>
  <c r="D95" i="2"/>
  <c r="D125" i="2" s="1"/>
  <c r="I98" i="2"/>
  <c r="I128" i="2" s="1"/>
  <c r="AK97" i="2"/>
  <c r="AK127" i="2" s="1"/>
  <c r="R98" i="2"/>
  <c r="R128" i="2" s="1"/>
  <c r="L95" i="2"/>
  <c r="L125" i="2" s="1"/>
  <c r="H97" i="2"/>
  <c r="H127" i="2" s="1"/>
  <c r="M98" i="2"/>
  <c r="M128" i="2" s="1"/>
  <c r="AL89" i="2"/>
  <c r="AL119" i="2" s="1"/>
  <c r="AL97" i="2"/>
  <c r="AL127" i="2" s="1"/>
  <c r="AL96" i="2"/>
  <c r="AL126" i="2" s="1"/>
  <c r="N89" i="2"/>
  <c r="N119" i="2" s="1"/>
  <c r="N98" i="2"/>
  <c r="N128" i="2" s="1"/>
  <c r="N96" i="2"/>
  <c r="N126" i="2" s="1"/>
  <c r="G89" i="2"/>
  <c r="G119" i="2" s="1"/>
  <c r="G97" i="2"/>
  <c r="G127" i="2" s="1"/>
  <c r="G98" i="2"/>
  <c r="G128" i="2" s="1"/>
  <c r="G96" i="2"/>
  <c r="G126" i="2" s="1"/>
  <c r="O89" i="2"/>
  <c r="O119" i="2" s="1"/>
  <c r="O97" i="2"/>
  <c r="O127" i="2" s="1"/>
  <c r="O98" i="2"/>
  <c r="O128" i="2" s="1"/>
  <c r="O96" i="2"/>
  <c r="O126" i="2" s="1"/>
  <c r="W89" i="2"/>
  <c r="W119" i="2" s="1"/>
  <c r="W98" i="2"/>
  <c r="W128" i="2" s="1"/>
  <c r="W97" i="2"/>
  <c r="W127" i="2" s="1"/>
  <c r="AE89" i="2"/>
  <c r="AE119" i="2" s="1"/>
  <c r="AE98" i="2"/>
  <c r="AE128" i="2" s="1"/>
  <c r="AE97" i="2"/>
  <c r="AE127" i="2" s="1"/>
  <c r="AB98" i="2"/>
  <c r="AB128" i="2" s="1"/>
  <c r="Z96" i="2"/>
  <c r="Z126" i="2" s="1"/>
  <c r="AO96" i="2"/>
  <c r="AO126" i="2" s="1"/>
  <c r="L96" i="2"/>
  <c r="L126" i="2" s="1"/>
  <c r="AG98" i="2"/>
  <c r="AG128" i="2" s="1"/>
  <c r="AN97" i="2"/>
  <c r="AN127" i="2" s="1"/>
  <c r="AC96" i="2"/>
  <c r="AC126" i="2" s="1"/>
  <c r="X96" i="2"/>
  <c r="X126" i="2" s="1"/>
  <c r="AO95" i="2"/>
  <c r="AO125" i="2" s="1"/>
  <c r="U98" i="2"/>
  <c r="U128" i="2" s="1"/>
  <c r="M96" i="2"/>
  <c r="M126" i="2" s="1"/>
  <c r="E98" i="2"/>
  <c r="E128" i="2" s="1"/>
  <c r="P97" i="2"/>
  <c r="P127" i="2" s="1"/>
  <c r="AC95" i="2"/>
  <c r="AC125" i="2" s="1"/>
  <c r="F89" i="2"/>
  <c r="F119" i="2" s="1"/>
  <c r="F98" i="2"/>
  <c r="F128" i="2" s="1"/>
  <c r="F96" i="2"/>
  <c r="F126" i="2" s="1"/>
  <c r="B89" i="2"/>
  <c r="B119" i="2" s="1"/>
  <c r="B96" i="2"/>
  <c r="B126" i="2" s="1"/>
  <c r="B97" i="2"/>
  <c r="B127" i="2" s="1"/>
  <c r="AJ98" i="2"/>
  <c r="AJ128" i="2" s="1"/>
  <c r="D96" i="2"/>
  <c r="D126" i="2" s="1"/>
  <c r="AA96" i="2"/>
  <c r="AA126" i="2" s="1"/>
  <c r="AB96" i="2"/>
  <c r="AB126" i="2" s="1"/>
  <c r="L98" i="2"/>
  <c r="L128" i="2" s="1"/>
  <c r="AC98" i="2"/>
  <c r="AC128" i="2" s="1"/>
  <c r="X95" i="2"/>
  <c r="X125" i="2" s="1"/>
  <c r="J95" i="2"/>
  <c r="J125" i="2" s="1"/>
  <c r="AK95" i="2"/>
  <c r="AK125" i="2" s="1"/>
  <c r="B95" i="2"/>
  <c r="B125" i="2" s="1"/>
  <c r="U95" i="2"/>
  <c r="U125" i="2" s="1"/>
  <c r="M95" i="2"/>
  <c r="M125" i="2" s="1"/>
  <c r="H96" i="2"/>
  <c r="H126" i="2" s="1"/>
  <c r="N95" i="2"/>
  <c r="N125" i="2" s="1"/>
  <c r="AH90" i="2"/>
  <c r="AH120" i="2" s="1"/>
  <c r="AJ91" i="2"/>
  <c r="AJ121" i="2" s="1"/>
  <c r="AB91" i="2"/>
  <c r="AB121" i="2" s="1"/>
  <c r="T91" i="2"/>
  <c r="T121" i="2" s="1"/>
  <c r="AA94" i="2"/>
  <c r="AA124" i="2" s="1"/>
  <c r="D97" i="2"/>
  <c r="D127" i="2" s="1"/>
  <c r="W95" i="2"/>
  <c r="W125" i="2" s="1"/>
  <c r="E96" i="2"/>
  <c r="E126" i="2" s="1"/>
  <c r="Y95" i="2"/>
  <c r="Y125" i="2" s="1"/>
  <c r="AJ95" i="2"/>
  <c r="AJ125" i="2" s="1"/>
  <c r="AK98" i="2"/>
  <c r="AK128" i="2" s="1"/>
  <c r="AN95" i="2"/>
  <c r="AN125" i="2" s="1"/>
  <c r="AD96" i="2"/>
  <c r="AD126" i="2" s="1"/>
  <c r="F95" i="2"/>
  <c r="F125" i="2" s="1"/>
  <c r="V96" i="2"/>
  <c r="V126" i="2" s="1"/>
  <c r="AD95" i="2"/>
  <c r="AD125" i="2" s="1"/>
  <c r="V98" i="2"/>
  <c r="V128" i="2" s="1"/>
  <c r="R89" i="2"/>
  <c r="R119" i="2" s="1"/>
  <c r="R97" i="2"/>
  <c r="R127" i="2" s="1"/>
  <c r="Z89" i="2"/>
  <c r="Z119" i="2" s="1"/>
  <c r="Z98" i="2"/>
  <c r="Z128" i="2" s="1"/>
  <c r="AH89" i="2"/>
  <c r="AH119" i="2" s="1"/>
  <c r="AH96" i="2"/>
  <c r="AH126" i="2" s="1"/>
  <c r="AH98" i="2"/>
  <c r="AH128" i="2" s="1"/>
  <c r="L97" i="2"/>
  <c r="L127" i="2" s="1"/>
  <c r="AE95" i="2"/>
  <c r="AE125" i="2" s="1"/>
  <c r="AF95" i="2"/>
  <c r="AF125" i="2" s="1"/>
  <c r="I95" i="2"/>
  <c r="I125" i="2" s="1"/>
  <c r="P96" i="2"/>
  <c r="P126" i="2" s="1"/>
  <c r="E97" i="2"/>
  <c r="E127" i="2" s="1"/>
  <c r="AD98" i="2"/>
  <c r="AD128" i="2" s="1"/>
  <c r="Y97" i="2"/>
  <c r="Y127" i="2" s="1"/>
  <c r="Z97" i="2"/>
  <c r="Z127" i="2" s="1"/>
  <c r="V95" i="2"/>
  <c r="V125" i="2" s="1"/>
  <c r="Q97" i="2"/>
  <c r="Q127" i="2" s="1"/>
  <c r="AC97" i="2"/>
  <c r="AC127" i="2" s="1"/>
  <c r="J89" i="2"/>
  <c r="J119" i="2" s="1"/>
  <c r="J96" i="2"/>
  <c r="J126" i="2" s="1"/>
  <c r="J97" i="2"/>
  <c r="J127" i="2" s="1"/>
  <c r="C98" i="2"/>
  <c r="C128" i="2" s="1"/>
  <c r="C96" i="2"/>
  <c r="C126" i="2" s="1"/>
  <c r="C97" i="2"/>
  <c r="C127" i="2" s="1"/>
  <c r="K96" i="2"/>
  <c r="K126" i="2" s="1"/>
  <c r="K98" i="2"/>
  <c r="K128" i="2" s="1"/>
  <c r="K97" i="2"/>
  <c r="K127" i="2" s="1"/>
  <c r="S89" i="2"/>
  <c r="S119" i="2" s="1"/>
  <c r="S98" i="2"/>
  <c r="S128" i="2" s="1"/>
  <c r="S97" i="2"/>
  <c r="S127" i="2" s="1"/>
  <c r="AA89" i="2"/>
  <c r="AA119" i="2" s="1"/>
  <c r="AA97" i="2"/>
  <c r="AA127" i="2" s="1"/>
  <c r="AA98" i="2"/>
  <c r="AA128" i="2" s="1"/>
  <c r="AI89" i="2"/>
  <c r="AI119" i="2" s="1"/>
  <c r="AI96" i="2"/>
  <c r="AI126" i="2" s="1"/>
  <c r="AI97" i="2"/>
  <c r="AI127" i="2" s="1"/>
  <c r="AI98" i="2"/>
  <c r="AI128" i="2" s="1"/>
  <c r="T97" i="2"/>
  <c r="T127" i="2" s="1"/>
  <c r="AM95" i="2"/>
  <c r="AM125" i="2" s="1"/>
  <c r="H95" i="2"/>
  <c r="H125" i="2" s="1"/>
  <c r="U96" i="2"/>
  <c r="U126" i="2" s="1"/>
  <c r="E95" i="2"/>
  <c r="E125" i="2" s="1"/>
  <c r="M97" i="2"/>
  <c r="M127" i="2" s="1"/>
  <c r="Q98" i="2"/>
  <c r="Q128" i="2" s="1"/>
  <c r="I97" i="2"/>
  <c r="I127" i="2" s="1"/>
  <c r="AG97" i="2"/>
  <c r="AG127" i="2" s="1"/>
  <c r="AO98" i="2"/>
  <c r="AO128" i="2" s="1"/>
  <c r="AH97" i="2"/>
  <c r="AH127" i="2" s="1"/>
  <c r="S95" i="2"/>
  <c r="S125" i="2" s="1"/>
  <c r="X98" i="2"/>
  <c r="X128" i="2" s="1"/>
  <c r="T98" i="2"/>
  <c r="T128" i="2" s="1"/>
  <c r="Q96" i="2"/>
  <c r="Q126" i="2" s="1"/>
  <c r="AF96" i="2"/>
  <c r="AF126" i="2" s="1"/>
  <c r="G95" i="2"/>
  <c r="G125" i="2" s="1"/>
  <c r="P95" i="2"/>
  <c r="P125" i="2" s="1"/>
  <c r="AH95" i="2"/>
  <c r="AH125" i="2" s="1"/>
  <c r="Y96" i="2"/>
  <c r="Y126" i="2" s="1"/>
  <c r="U97" i="2"/>
  <c r="U127" i="2" s="1"/>
  <c r="T96" i="2"/>
  <c r="T126" i="2" s="1"/>
  <c r="D98" i="2"/>
  <c r="D128" i="2" s="1"/>
  <c r="AO97" i="2"/>
  <c r="AO127" i="2" s="1"/>
  <c r="AK96" i="2"/>
  <c r="AK126" i="2" s="1"/>
  <c r="B98" i="2"/>
  <c r="B128" i="2" s="1"/>
  <c r="Y98" i="2"/>
  <c r="Y128" i="2" s="1"/>
  <c r="I96" i="2"/>
  <c r="I126" i="2" s="1"/>
  <c r="AL95" i="2"/>
  <c r="AL125" i="2" s="1"/>
  <c r="AF89" i="2"/>
  <c r="AF119" i="2" s="1"/>
  <c r="I119" i="2"/>
  <c r="V89" i="2"/>
  <c r="V119" i="2" s="1"/>
  <c r="E119" i="2"/>
  <c r="M119" i="2"/>
  <c r="U119" i="2"/>
  <c r="AD119" i="2"/>
  <c r="L119" i="2"/>
  <c r="K89" i="2"/>
  <c r="K119" i="2" s="1"/>
  <c r="C89" i="2"/>
  <c r="C119" i="2" s="1"/>
  <c r="AJ89" i="2"/>
  <c r="AJ119" i="2" s="1"/>
  <c r="AB89" i="2"/>
  <c r="AB119" i="2" s="1"/>
</calcChain>
</file>

<file path=xl/sharedStrings.xml><?xml version="1.0" encoding="utf-8"?>
<sst xmlns="http://schemas.openxmlformats.org/spreadsheetml/2006/main" count="482" uniqueCount="71">
  <si>
    <t>NSG</t>
  </si>
  <si>
    <t xml:space="preserve">We started Alectinib treatment </t>
  </si>
  <si>
    <t>Left</t>
  </si>
  <si>
    <t>Right</t>
  </si>
  <si>
    <t>NSG_Female mice</t>
  </si>
  <si>
    <t>Cage #</t>
  </si>
  <si>
    <t>substracting skin measurement</t>
  </si>
  <si>
    <t>Cubed * 100</t>
  </si>
  <si>
    <t>Normalized</t>
  </si>
  <si>
    <t xml:space="preserve">Animals were injected with H3122 nuclear GFP cells 1million / site </t>
  </si>
  <si>
    <t>01 24 2022</t>
  </si>
  <si>
    <t>Switching --&gt; Continous</t>
  </si>
  <si>
    <t>Continous --&gt; Switching</t>
  </si>
  <si>
    <t xml:space="preserve">Throughout continuous </t>
  </si>
  <si>
    <t>Throughout switching</t>
  </si>
  <si>
    <t>Alectinib 25 mg /kg</t>
  </si>
  <si>
    <t>02 14 2022, week 0</t>
  </si>
  <si>
    <t xml:space="preserve">02 22 2022, week 1 </t>
  </si>
  <si>
    <t>03 01 2022, week 2</t>
  </si>
  <si>
    <t>Mouse 192</t>
  </si>
  <si>
    <t>03 07 2022</t>
  </si>
  <si>
    <t xml:space="preserve">03 07 2022, week 3 </t>
  </si>
  <si>
    <t>Alectinib (50 mg /kg) / Rx Break</t>
  </si>
  <si>
    <t>03 14 2022, week 4</t>
  </si>
  <si>
    <t>03 21 2022, week 5</t>
  </si>
  <si>
    <t>03 24 2022, week 6</t>
  </si>
  <si>
    <t>04 04 2022, week 7</t>
  </si>
  <si>
    <t>Alectinib 25 mg /kg --&gt; Intermittent treatment"</t>
  </si>
  <si>
    <t>Alectinib (50 mg /kg) / Rx Break --&gt; continuous treatment</t>
  </si>
  <si>
    <t>Goal</t>
  </si>
  <si>
    <t xml:space="preserve">From mouse channel </t>
  </si>
  <si>
    <t xml:space="preserve">cachexia was observed </t>
  </si>
  <si>
    <t>02 14 2022</t>
  </si>
  <si>
    <t>04 11 2022, week 8</t>
  </si>
  <si>
    <t xml:space="preserve">04 18 2022, week 9 </t>
  </si>
  <si>
    <t>04 25 2022, week 10</t>
  </si>
  <si>
    <t xml:space="preserve">Mouse #192 </t>
  </si>
  <si>
    <t>Found dead on 4/27/2022</t>
  </si>
  <si>
    <t>04 27 2022</t>
  </si>
  <si>
    <t>Found dead on 04 27 2022</t>
  </si>
  <si>
    <t>05 02 2022, week 11</t>
  </si>
  <si>
    <t>05 08 2022, week 12</t>
  </si>
  <si>
    <t xml:space="preserve">05 16 2022, week 13 </t>
  </si>
  <si>
    <t>05 22 2022, week 14</t>
  </si>
  <si>
    <t>6 + 6 rounds of Rx cycles</t>
  </si>
  <si>
    <t xml:space="preserve">Till 12 weeks </t>
  </si>
  <si>
    <t xml:space="preserve">12th to 13th week </t>
  </si>
  <si>
    <t xml:space="preserve">13th to 14th week </t>
  </si>
  <si>
    <t xml:space="preserve">Continuous cages (290 &amp; 295) received 50mg/kg alectinib and the intermittent cages were on treatment break  </t>
  </si>
  <si>
    <t xml:space="preserve">week 15th onwards </t>
  </si>
  <si>
    <t>Continuous arm was on treatment break and Intermittent arm is received 50mg/Kg</t>
  </si>
  <si>
    <t>Mice received gavages as planned post 6 weeks of switching continuous - 25 mg/kg and intermittent - 50mg/kg</t>
  </si>
  <si>
    <t>Sacke on 05 31 2022</t>
  </si>
  <si>
    <t>05 31 2022, week 15</t>
  </si>
  <si>
    <t xml:space="preserve">06 05 2022, week 16 </t>
  </si>
  <si>
    <t xml:space="preserve">06 12 2022, week 17 </t>
  </si>
  <si>
    <t>06 20 2022, week 18</t>
  </si>
  <si>
    <t xml:space="preserve">06 27 2022, week 19 </t>
  </si>
  <si>
    <t xml:space="preserve">Week 18th -19th treatment break </t>
  </si>
  <si>
    <t>All mice</t>
  </si>
  <si>
    <t>07 03 2022, week 20</t>
  </si>
  <si>
    <t xml:space="preserve">week 19th - 20th </t>
  </si>
  <si>
    <t>All mice received 25mg/kg</t>
  </si>
  <si>
    <t xml:space="preserve">07 03 2022 </t>
  </si>
  <si>
    <t>Mouse#216</t>
  </si>
  <si>
    <t xml:space="preserve">one of the tumor measured 2.6 seems to have unceration issue </t>
  </si>
  <si>
    <t>Sacked on 07 05 2022</t>
  </si>
  <si>
    <t>Asking if intermittent treated tumors are more resistant to Alectinib post treatment break</t>
  </si>
  <si>
    <t>NaN</t>
  </si>
  <si>
    <t>Week</t>
  </si>
  <si>
    <t>True Dosing Schedules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</si>
</sst>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rgb="FFFF0000"/>
      <name val="Arial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0" borderId="0" xfId="0" applyFont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7" xfId="0" applyFont="1" applyBorder="1"/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9" fillId="0" borderId="0" xfId="0" applyFont="1"/>
    <xf numFmtId="0" fontId="1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6" borderId="0" xfId="0" applyFont="1" applyFill="1"/>
    <xf numFmtId="0" fontId="2" fillId="0" borderId="32" xfId="0" applyFont="1" applyBorder="1" applyAlignment="1">
      <alignment horizontal="center"/>
    </xf>
    <xf numFmtId="0" fontId="0" fillId="7" borderId="35" xfId="0" applyFill="1" applyBorder="1"/>
    <xf numFmtId="0" fontId="0" fillId="8" borderId="35" xfId="0" applyFill="1" applyBorder="1"/>
    <xf numFmtId="0" fontId="0" fillId="9" borderId="35" xfId="0" applyFill="1" applyBorder="1"/>
    <xf numFmtId="0" fontId="0" fillId="10" borderId="35" xfId="0" applyFill="1" applyBorder="1"/>
    <xf numFmtId="0" fontId="2" fillId="0" borderId="0" xfId="0" applyFont="1" applyAlignment="1">
      <alignment horizontal="center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/>
    </xf>
    <xf numFmtId="0" fontId="2" fillId="6" borderId="38" xfId="0" applyFont="1" applyFill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0" fontId="2" fillId="0" borderId="38" xfId="0" applyFont="1" applyBorder="1"/>
    <xf numFmtId="0" fontId="4" fillId="3" borderId="3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2" fillId="0" borderId="39" xfId="0" applyFont="1" applyBorder="1"/>
    <xf numFmtId="0" fontId="0" fillId="0" borderId="39" xfId="0" applyBorder="1"/>
    <xf numFmtId="0" fontId="5" fillId="6" borderId="39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2" borderId="21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00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765174</xdr:colOff>
      <xdr:row>0</xdr:row>
      <xdr:rowOff>101601</xdr:rowOff>
    </xdr:from>
    <xdr:to>
      <xdr:col>16</xdr:col>
      <xdr:colOff>292099</xdr:colOff>
      <xdr:row>35</xdr:row>
      <xdr:rowOff>63501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212B19-12DE-C19C-826A-A4081E176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7310437" y="985838"/>
          <a:ext cx="7073900" cy="530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5897-77D3-114E-B856-EDDDDDDEF631}">
  <dimension ref="A1:AO154"/>
  <sheetViews>
    <sheetView topLeftCell="A99" zoomScale="90" zoomScaleNormal="90" workbookViewId="0">
      <selection activeCell="B119" sqref="B119:AO139"/>
    </sheetView>
  </sheetViews>
  <sheetFormatPr baseColWidth="10" defaultRowHeight="18" x14ac:dyDescent="0.2"/>
  <cols>
    <col min="1" max="1" width="38.1640625" style="1" bestFit="1" customWidth="1"/>
    <col min="2" max="21" width="10.83203125" style="1"/>
    <col min="22" max="22" width="14.5" style="1" bestFit="1" customWidth="1"/>
    <col min="23" max="23" width="15.83203125" style="1" customWidth="1"/>
    <col min="24" max="16384" width="10.83203125" style="1"/>
  </cols>
  <sheetData>
    <row r="1" spans="1:41" x14ac:dyDescent="0.2">
      <c r="A1" s="6" t="s">
        <v>10</v>
      </c>
      <c r="B1" s="22" t="s">
        <v>9</v>
      </c>
      <c r="C1" s="22"/>
      <c r="D1" s="22"/>
      <c r="E1" s="22"/>
      <c r="F1" s="22"/>
    </row>
    <row r="2" spans="1:41" x14ac:dyDescent="0.2">
      <c r="A2" s="6" t="s">
        <v>32</v>
      </c>
      <c r="B2" s="162" t="s">
        <v>1</v>
      </c>
      <c r="C2" s="162"/>
      <c r="D2" s="162"/>
      <c r="E2" s="162"/>
      <c r="F2" s="162"/>
    </row>
    <row r="3" spans="1:41" x14ac:dyDescent="0.2">
      <c r="A3" s="6"/>
      <c r="B3" s="162"/>
      <c r="C3" s="162"/>
      <c r="D3" s="162"/>
      <c r="E3" s="162"/>
      <c r="F3" s="162"/>
    </row>
    <row r="4" spans="1:41" ht="19" thickBot="1" x14ac:dyDescent="0.25">
      <c r="A4" s="3"/>
      <c r="B4" s="3"/>
      <c r="C4" s="3"/>
      <c r="D4" s="3"/>
      <c r="E4" s="3"/>
      <c r="F4" s="3"/>
    </row>
    <row r="5" spans="1:41" ht="19" thickBot="1" x14ac:dyDescent="0.25">
      <c r="B5" s="163" t="s">
        <v>4</v>
      </c>
      <c r="C5" s="164"/>
      <c r="D5" s="164"/>
      <c r="E5" s="165"/>
      <c r="G5" s="1" t="s">
        <v>29</v>
      </c>
    </row>
    <row r="6" spans="1:41" ht="19" thickBot="1" x14ac:dyDescent="0.25">
      <c r="A6" s="1" t="s">
        <v>5</v>
      </c>
      <c r="B6" s="24">
        <v>289</v>
      </c>
      <c r="C6" s="25">
        <v>290</v>
      </c>
      <c r="D6" s="25">
        <v>294</v>
      </c>
      <c r="E6" s="26">
        <v>295</v>
      </c>
      <c r="G6" s="1" t="s">
        <v>11</v>
      </c>
    </row>
    <row r="7" spans="1:41" x14ac:dyDescent="0.2">
      <c r="B7" s="28">
        <v>187</v>
      </c>
      <c r="C7" s="29">
        <v>192</v>
      </c>
      <c r="D7" s="29">
        <v>212</v>
      </c>
      <c r="E7" s="30">
        <v>217</v>
      </c>
      <c r="G7" s="1" t="s">
        <v>12</v>
      </c>
    </row>
    <row r="8" spans="1:41" x14ac:dyDescent="0.2">
      <c r="B8" s="23">
        <v>188</v>
      </c>
      <c r="C8" s="3">
        <v>193</v>
      </c>
      <c r="D8" s="3">
        <v>213</v>
      </c>
      <c r="E8" s="4">
        <v>218</v>
      </c>
      <c r="G8" s="1" t="s">
        <v>13</v>
      </c>
    </row>
    <row r="9" spans="1:41" x14ac:dyDescent="0.2">
      <c r="B9" s="23">
        <v>189</v>
      </c>
      <c r="C9" s="3">
        <v>194</v>
      </c>
      <c r="D9" s="3">
        <v>214</v>
      </c>
      <c r="E9" s="4">
        <v>219</v>
      </c>
      <c r="G9" s="1" t="s">
        <v>14</v>
      </c>
    </row>
    <row r="10" spans="1:41" x14ac:dyDescent="0.2">
      <c r="B10" s="23">
        <v>190</v>
      </c>
      <c r="C10" s="3">
        <v>195</v>
      </c>
      <c r="D10" s="3">
        <v>215</v>
      </c>
      <c r="E10" s="4">
        <v>220</v>
      </c>
    </row>
    <row r="11" spans="1:41" ht="19" thickBot="1" x14ac:dyDescent="0.25">
      <c r="B11" s="31">
        <v>191</v>
      </c>
      <c r="C11" s="5">
        <v>196</v>
      </c>
      <c r="D11" s="5">
        <v>216</v>
      </c>
      <c r="E11" s="2">
        <v>221</v>
      </c>
    </row>
    <row r="12" spans="1:41" x14ac:dyDescent="0.2">
      <c r="A12" s="3"/>
      <c r="B12" s="3"/>
      <c r="C12" s="3"/>
      <c r="D12" s="3"/>
      <c r="E12" s="3"/>
      <c r="F12" s="3"/>
    </row>
    <row r="14" spans="1:41" ht="19" thickBot="1" x14ac:dyDescent="0.25"/>
    <row r="15" spans="1:41" ht="19" thickBot="1" x14ac:dyDescent="0.25">
      <c r="A15" s="7" t="s">
        <v>0</v>
      </c>
      <c r="B15" s="136">
        <v>295</v>
      </c>
      <c r="C15" s="137"/>
      <c r="D15" s="137"/>
      <c r="E15" s="137"/>
      <c r="F15" s="137"/>
      <c r="G15" s="137"/>
      <c r="H15" s="137"/>
      <c r="I15" s="137"/>
      <c r="J15" s="137"/>
      <c r="K15" s="138"/>
      <c r="L15" s="136">
        <v>294</v>
      </c>
      <c r="M15" s="137"/>
      <c r="N15" s="137"/>
      <c r="O15" s="137"/>
      <c r="P15" s="137"/>
      <c r="Q15" s="137"/>
      <c r="R15" s="137"/>
      <c r="S15" s="137"/>
      <c r="T15" s="137"/>
      <c r="U15" s="137"/>
      <c r="V15" s="136">
        <v>290</v>
      </c>
      <c r="W15" s="137"/>
      <c r="X15" s="137"/>
      <c r="Y15" s="137"/>
      <c r="Z15" s="137"/>
      <c r="AA15" s="137"/>
      <c r="AB15" s="137"/>
      <c r="AC15" s="137"/>
      <c r="AD15" s="137"/>
      <c r="AE15" s="138"/>
      <c r="AF15" s="136">
        <v>289</v>
      </c>
      <c r="AG15" s="137"/>
      <c r="AH15" s="137"/>
      <c r="AI15" s="137"/>
      <c r="AJ15" s="137"/>
      <c r="AK15" s="137"/>
      <c r="AL15" s="137"/>
      <c r="AM15" s="137"/>
      <c r="AN15" s="137"/>
      <c r="AO15" s="138"/>
    </row>
    <row r="16" spans="1:41" ht="19" thickBot="1" x14ac:dyDescent="0.25">
      <c r="A16" s="7"/>
      <c r="B16" s="148" t="s">
        <v>15</v>
      </c>
      <c r="C16" s="149"/>
      <c r="D16" s="149"/>
      <c r="E16" s="149"/>
      <c r="F16" s="149"/>
      <c r="G16" s="149"/>
      <c r="H16" s="149"/>
      <c r="I16" s="149"/>
      <c r="J16" s="149"/>
      <c r="K16" s="150"/>
      <c r="L16" s="148" t="s">
        <v>27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8" t="s">
        <v>28</v>
      </c>
      <c r="W16" s="149"/>
      <c r="X16" s="149"/>
      <c r="Y16" s="149"/>
      <c r="Z16" s="149"/>
      <c r="AA16" s="149"/>
      <c r="AB16" s="149"/>
      <c r="AC16" s="149"/>
      <c r="AD16" s="149"/>
      <c r="AE16" s="150"/>
      <c r="AF16" s="148" t="s">
        <v>22</v>
      </c>
      <c r="AG16" s="149"/>
      <c r="AH16" s="149"/>
      <c r="AI16" s="149"/>
      <c r="AJ16" s="149"/>
      <c r="AK16" s="149"/>
      <c r="AL16" s="149"/>
      <c r="AM16" s="149"/>
      <c r="AN16" s="149"/>
      <c r="AO16" s="150"/>
    </row>
    <row r="17" spans="1:41" ht="19" x14ac:dyDescent="0.2">
      <c r="A17" s="8"/>
      <c r="B17" s="114">
        <v>217</v>
      </c>
      <c r="C17" s="115"/>
      <c r="D17" s="116">
        <v>218</v>
      </c>
      <c r="E17" s="117"/>
      <c r="F17" s="118">
        <v>219</v>
      </c>
      <c r="G17" s="117"/>
      <c r="H17" s="118">
        <v>220</v>
      </c>
      <c r="I17" s="117"/>
      <c r="J17" s="119">
        <v>221</v>
      </c>
      <c r="K17" s="120"/>
      <c r="L17" s="121">
        <v>212</v>
      </c>
      <c r="M17" s="122"/>
      <c r="N17" s="131">
        <v>213</v>
      </c>
      <c r="O17" s="130"/>
      <c r="P17" s="129">
        <v>214</v>
      </c>
      <c r="Q17" s="130"/>
      <c r="R17" s="129">
        <v>215</v>
      </c>
      <c r="S17" s="130"/>
      <c r="T17" s="123">
        <v>216</v>
      </c>
      <c r="U17" s="166"/>
      <c r="V17" s="125">
        <v>192</v>
      </c>
      <c r="W17" s="126"/>
      <c r="X17" s="127">
        <v>193</v>
      </c>
      <c r="Y17" s="128"/>
      <c r="Z17" s="151">
        <v>194</v>
      </c>
      <c r="AA17" s="128"/>
      <c r="AB17" s="151">
        <v>195</v>
      </c>
      <c r="AC17" s="128"/>
      <c r="AD17" s="112">
        <v>196</v>
      </c>
      <c r="AE17" s="113"/>
      <c r="AF17" s="145">
        <v>187</v>
      </c>
      <c r="AG17" s="146"/>
      <c r="AH17" s="147">
        <v>188</v>
      </c>
      <c r="AI17" s="133"/>
      <c r="AJ17" s="132">
        <v>189</v>
      </c>
      <c r="AK17" s="133"/>
      <c r="AL17" s="132">
        <v>190</v>
      </c>
      <c r="AM17" s="133"/>
      <c r="AN17" s="134">
        <v>191</v>
      </c>
      <c r="AO17" s="135"/>
    </row>
    <row r="18" spans="1:41" ht="20" thickBot="1" x14ac:dyDescent="0.25">
      <c r="A18" s="8"/>
      <c r="B18" s="16" t="s">
        <v>2</v>
      </c>
      <c r="C18" s="9" t="s">
        <v>3</v>
      </c>
      <c r="D18" s="9" t="s">
        <v>2</v>
      </c>
      <c r="E18" s="9" t="s">
        <v>3</v>
      </c>
      <c r="F18" s="9" t="s">
        <v>2</v>
      </c>
      <c r="G18" s="9" t="s">
        <v>3</v>
      </c>
      <c r="H18" s="9" t="s">
        <v>2</v>
      </c>
      <c r="I18" s="32" t="s">
        <v>3</v>
      </c>
      <c r="J18" s="33" t="s">
        <v>2</v>
      </c>
      <c r="K18" s="34" t="s">
        <v>3</v>
      </c>
      <c r="L18" s="35" t="s">
        <v>2</v>
      </c>
      <c r="M18" s="36" t="s">
        <v>3</v>
      </c>
      <c r="N18" s="36" t="s">
        <v>2</v>
      </c>
      <c r="O18" s="36" t="s">
        <v>3</v>
      </c>
      <c r="P18" s="36" t="s">
        <v>2</v>
      </c>
      <c r="Q18" s="36" t="s">
        <v>3</v>
      </c>
      <c r="R18" s="36" t="s">
        <v>2</v>
      </c>
      <c r="S18" s="37" t="s">
        <v>3</v>
      </c>
      <c r="T18" s="17" t="s">
        <v>2</v>
      </c>
      <c r="U18" s="49" t="s">
        <v>3</v>
      </c>
      <c r="V18" s="38" t="s">
        <v>2</v>
      </c>
      <c r="W18" s="39" t="s">
        <v>3</v>
      </c>
      <c r="X18" s="39" t="s">
        <v>2</v>
      </c>
      <c r="Y18" s="39" t="s">
        <v>3</v>
      </c>
      <c r="Z18" s="39" t="s">
        <v>2</v>
      </c>
      <c r="AA18" s="39" t="s">
        <v>3</v>
      </c>
      <c r="AB18" s="39" t="s">
        <v>2</v>
      </c>
      <c r="AC18" s="40" t="s">
        <v>3</v>
      </c>
      <c r="AD18" s="19" t="s">
        <v>2</v>
      </c>
      <c r="AE18" s="20" t="s">
        <v>3</v>
      </c>
      <c r="AF18" s="41" t="s">
        <v>2</v>
      </c>
      <c r="AG18" s="42" t="s">
        <v>3</v>
      </c>
      <c r="AH18" s="42" t="s">
        <v>2</v>
      </c>
      <c r="AI18" s="42" t="s">
        <v>3</v>
      </c>
      <c r="AJ18" s="42" t="s">
        <v>2</v>
      </c>
      <c r="AK18" s="42" t="s">
        <v>3</v>
      </c>
      <c r="AL18" s="42" t="s">
        <v>2</v>
      </c>
      <c r="AM18" s="43" t="s">
        <v>3</v>
      </c>
      <c r="AN18" s="21" t="s">
        <v>2</v>
      </c>
      <c r="AO18" s="44" t="s">
        <v>3</v>
      </c>
    </row>
    <row r="19" spans="1:41" ht="19" x14ac:dyDescent="0.2">
      <c r="A19" s="3" t="s">
        <v>16</v>
      </c>
      <c r="B19" s="45">
        <v>5.4</v>
      </c>
      <c r="C19" s="46">
        <v>5</v>
      </c>
      <c r="D19" s="46">
        <v>4.9000000000000004</v>
      </c>
      <c r="E19" s="46">
        <v>5.6</v>
      </c>
      <c r="F19" s="46">
        <v>4.6500000000000004</v>
      </c>
      <c r="G19" s="46">
        <v>5.4</v>
      </c>
      <c r="H19" s="46">
        <v>4.3</v>
      </c>
      <c r="I19" s="46">
        <v>5.3</v>
      </c>
      <c r="J19" s="47">
        <v>5.8</v>
      </c>
      <c r="K19" s="48">
        <v>5.3</v>
      </c>
      <c r="L19" s="45">
        <v>5.9</v>
      </c>
      <c r="M19" s="46">
        <v>5.15</v>
      </c>
      <c r="N19" s="46">
        <v>4.4000000000000004</v>
      </c>
      <c r="O19" s="46">
        <v>6.7</v>
      </c>
      <c r="P19" s="46">
        <v>4.2</v>
      </c>
      <c r="Q19" s="46">
        <v>5.4</v>
      </c>
      <c r="R19" s="46">
        <v>5</v>
      </c>
      <c r="S19" s="46">
        <v>6</v>
      </c>
      <c r="T19" s="47">
        <v>4.3</v>
      </c>
      <c r="U19" s="50">
        <v>6.3</v>
      </c>
      <c r="V19" s="45">
        <v>5.7</v>
      </c>
      <c r="W19" s="46">
        <v>6.2</v>
      </c>
      <c r="X19" s="46">
        <v>5.5</v>
      </c>
      <c r="Y19" s="46">
        <v>3.75</v>
      </c>
      <c r="Z19" s="46">
        <v>6</v>
      </c>
      <c r="AA19" s="46">
        <v>6.5</v>
      </c>
      <c r="AB19" s="46">
        <v>5.5</v>
      </c>
      <c r="AC19" s="46">
        <v>6</v>
      </c>
      <c r="AD19" s="47">
        <v>3.8</v>
      </c>
      <c r="AE19" s="48">
        <v>3.3</v>
      </c>
      <c r="AF19" s="45">
        <v>7.7</v>
      </c>
      <c r="AG19" s="46">
        <v>7.6</v>
      </c>
      <c r="AH19" s="46">
        <v>4.3</v>
      </c>
      <c r="AI19" s="46">
        <v>4</v>
      </c>
      <c r="AJ19" s="46">
        <v>5.8</v>
      </c>
      <c r="AK19" s="46">
        <v>7.4</v>
      </c>
      <c r="AL19" s="46">
        <v>6.5</v>
      </c>
      <c r="AM19" s="46">
        <v>6.3</v>
      </c>
      <c r="AN19" s="47">
        <v>7.2</v>
      </c>
      <c r="AO19" s="48">
        <v>6.6</v>
      </c>
    </row>
    <row r="20" spans="1:41" x14ac:dyDescent="0.2">
      <c r="A20" s="1" t="s">
        <v>17</v>
      </c>
      <c r="B20" s="11">
        <v>4.9000000000000004</v>
      </c>
      <c r="C20" s="15">
        <v>4.4000000000000004</v>
      </c>
      <c r="D20" s="15">
        <v>3</v>
      </c>
      <c r="E20" s="15">
        <v>4.4000000000000004</v>
      </c>
      <c r="F20" s="15">
        <v>3.6</v>
      </c>
      <c r="G20" s="15">
        <v>4.0999999999999996</v>
      </c>
      <c r="H20" s="15">
        <v>3.6</v>
      </c>
      <c r="I20" s="15">
        <v>4</v>
      </c>
      <c r="J20" s="15">
        <v>4.9000000000000004</v>
      </c>
      <c r="K20" s="10">
        <v>4.2</v>
      </c>
      <c r="L20" s="11">
        <v>4.5</v>
      </c>
      <c r="M20" s="15">
        <v>3.9</v>
      </c>
      <c r="N20" s="15">
        <v>3.6</v>
      </c>
      <c r="O20" s="15">
        <v>4.9000000000000004</v>
      </c>
      <c r="P20" s="15">
        <v>3.8</v>
      </c>
      <c r="Q20" s="15">
        <v>4.2</v>
      </c>
      <c r="R20" s="15">
        <v>4.5999999999999996</v>
      </c>
      <c r="S20" s="15">
        <v>5</v>
      </c>
      <c r="T20" s="15">
        <v>3.2</v>
      </c>
      <c r="U20" s="15">
        <v>5.4</v>
      </c>
      <c r="V20" s="11">
        <v>4.5999999999999996</v>
      </c>
      <c r="W20" s="15">
        <v>4.7</v>
      </c>
      <c r="X20" s="15">
        <v>4.5999999999999996</v>
      </c>
      <c r="Y20" s="15">
        <v>2.6</v>
      </c>
      <c r="Z20" s="15">
        <v>4.7</v>
      </c>
      <c r="AA20" s="15">
        <v>5.0999999999999996</v>
      </c>
      <c r="AB20" s="15">
        <v>4.2</v>
      </c>
      <c r="AC20" s="15">
        <v>4.5999999999999996</v>
      </c>
      <c r="AD20" s="15">
        <v>2.9</v>
      </c>
      <c r="AE20" s="10">
        <v>2.5</v>
      </c>
      <c r="AF20" s="11">
        <v>6.1</v>
      </c>
      <c r="AG20" s="15">
        <v>4</v>
      </c>
      <c r="AH20" s="15">
        <v>3.5</v>
      </c>
      <c r="AI20" s="15">
        <v>2.9</v>
      </c>
      <c r="AJ20" s="15">
        <v>4.5999999999999996</v>
      </c>
      <c r="AK20" s="15">
        <v>5.5</v>
      </c>
      <c r="AL20" s="15">
        <v>5.4</v>
      </c>
      <c r="AM20" s="15">
        <v>4.5</v>
      </c>
      <c r="AN20" s="15">
        <v>5.0999999999999996</v>
      </c>
      <c r="AO20" s="10">
        <v>5.4</v>
      </c>
    </row>
    <row r="21" spans="1:41" x14ac:dyDescent="0.2">
      <c r="A21" s="1" t="s">
        <v>18</v>
      </c>
      <c r="B21" s="11">
        <v>4</v>
      </c>
      <c r="C21" s="15">
        <v>3.3</v>
      </c>
      <c r="D21" s="15">
        <v>2.6</v>
      </c>
      <c r="E21" s="15">
        <v>3.9</v>
      </c>
      <c r="F21" s="15">
        <v>3.3</v>
      </c>
      <c r="G21" s="15">
        <v>3.8</v>
      </c>
      <c r="H21" s="15">
        <v>3.2</v>
      </c>
      <c r="I21" s="15">
        <v>3.4</v>
      </c>
      <c r="J21" s="15">
        <v>4</v>
      </c>
      <c r="K21" s="10">
        <v>3.8</v>
      </c>
      <c r="L21" s="11">
        <v>3.8</v>
      </c>
      <c r="M21" s="15">
        <v>3.5</v>
      </c>
      <c r="N21" s="15">
        <v>3.3</v>
      </c>
      <c r="O21" s="15">
        <v>4.5</v>
      </c>
      <c r="P21" s="15">
        <v>3.3</v>
      </c>
      <c r="Q21" s="15">
        <v>4.2</v>
      </c>
      <c r="R21" s="15">
        <v>4.0999999999999996</v>
      </c>
      <c r="S21" s="15">
        <v>4.5</v>
      </c>
      <c r="T21" s="15">
        <v>2.9</v>
      </c>
      <c r="U21" s="15">
        <v>4.4000000000000004</v>
      </c>
      <c r="V21" s="11">
        <v>4.5999999999999996</v>
      </c>
      <c r="W21" s="15">
        <v>4.3</v>
      </c>
      <c r="X21" s="15">
        <v>4.4000000000000004</v>
      </c>
      <c r="Y21" s="15">
        <v>2.9</v>
      </c>
      <c r="Z21" s="15">
        <v>4.3</v>
      </c>
      <c r="AA21" s="15">
        <v>4.9000000000000004</v>
      </c>
      <c r="AB21" s="15">
        <v>4.5999999999999996</v>
      </c>
      <c r="AC21" s="15">
        <v>4.8</v>
      </c>
      <c r="AD21" s="15">
        <v>3.2</v>
      </c>
      <c r="AE21" s="10">
        <v>2.8</v>
      </c>
      <c r="AF21" s="11">
        <v>6.2</v>
      </c>
      <c r="AG21" s="15">
        <v>4.2</v>
      </c>
      <c r="AH21" s="15">
        <v>4.2</v>
      </c>
      <c r="AI21" s="15">
        <v>3.4</v>
      </c>
      <c r="AJ21" s="15">
        <v>5.2</v>
      </c>
      <c r="AK21" s="15">
        <v>5.5</v>
      </c>
      <c r="AL21" s="15">
        <v>5.2</v>
      </c>
      <c r="AM21" s="15">
        <v>4.8</v>
      </c>
      <c r="AN21" s="15">
        <v>6</v>
      </c>
      <c r="AO21" s="10">
        <v>5.5</v>
      </c>
    </row>
    <row r="22" spans="1:41" x14ac:dyDescent="0.2">
      <c r="A22" s="1" t="s">
        <v>21</v>
      </c>
      <c r="B22" s="11">
        <v>3.1</v>
      </c>
      <c r="C22" s="15">
        <v>3.7</v>
      </c>
      <c r="D22" s="15">
        <v>2.7</v>
      </c>
      <c r="E22" s="15">
        <v>3.7</v>
      </c>
      <c r="F22" s="15">
        <v>3.2</v>
      </c>
      <c r="G22" s="15">
        <v>3.1</v>
      </c>
      <c r="H22" s="15">
        <v>2.9</v>
      </c>
      <c r="I22" s="15">
        <v>3.3</v>
      </c>
      <c r="J22" s="15">
        <v>3.6</v>
      </c>
      <c r="K22" s="10">
        <v>3.5</v>
      </c>
      <c r="L22" s="11">
        <v>3.8</v>
      </c>
      <c r="M22" s="15">
        <v>3.5</v>
      </c>
      <c r="N22" s="15">
        <v>3.2</v>
      </c>
      <c r="O22" s="15">
        <v>4.3</v>
      </c>
      <c r="P22" s="15">
        <v>3.2</v>
      </c>
      <c r="Q22" s="15">
        <v>3.6</v>
      </c>
      <c r="R22" s="15">
        <v>3.8</v>
      </c>
      <c r="S22" s="15">
        <v>4.3</v>
      </c>
      <c r="T22" s="15">
        <v>2.9</v>
      </c>
      <c r="U22" s="15">
        <v>4.4000000000000004</v>
      </c>
      <c r="V22" s="11">
        <v>4.0999999999999996</v>
      </c>
      <c r="W22" s="15">
        <v>3.8</v>
      </c>
      <c r="X22" s="15">
        <v>3.8</v>
      </c>
      <c r="Y22" s="15">
        <v>2.7</v>
      </c>
      <c r="Z22" s="15">
        <v>4</v>
      </c>
      <c r="AA22" s="15">
        <v>4.7</v>
      </c>
      <c r="AB22" s="15">
        <v>4.3</v>
      </c>
      <c r="AC22" s="15">
        <v>4.4000000000000004</v>
      </c>
      <c r="AD22" s="15">
        <v>2.9</v>
      </c>
      <c r="AE22" s="10">
        <v>2.2999999999999998</v>
      </c>
      <c r="AF22" s="11">
        <v>5.6</v>
      </c>
      <c r="AG22" s="15">
        <v>3.3</v>
      </c>
      <c r="AH22" s="15">
        <v>3.7</v>
      </c>
      <c r="AI22" s="15">
        <v>3.1</v>
      </c>
      <c r="AJ22" s="15">
        <v>4.5999999999999996</v>
      </c>
      <c r="AK22" s="15">
        <v>5.2</v>
      </c>
      <c r="AL22" s="15">
        <v>4.5999999999999996</v>
      </c>
      <c r="AM22" s="15">
        <v>4.5</v>
      </c>
      <c r="AN22" s="15">
        <v>5.2</v>
      </c>
      <c r="AO22" s="10">
        <v>4.8</v>
      </c>
    </row>
    <row r="23" spans="1:41" x14ac:dyDescent="0.2">
      <c r="A23" s="1" t="s">
        <v>23</v>
      </c>
      <c r="B23" s="11">
        <v>2.9</v>
      </c>
      <c r="C23" s="15">
        <v>3</v>
      </c>
      <c r="D23" s="15">
        <v>2.6</v>
      </c>
      <c r="E23" s="15">
        <v>3.5</v>
      </c>
      <c r="F23" s="15">
        <v>2.9</v>
      </c>
      <c r="G23" s="15">
        <v>3.5</v>
      </c>
      <c r="H23" s="15">
        <v>2.9</v>
      </c>
      <c r="I23" s="15">
        <v>3.3</v>
      </c>
      <c r="J23" s="15">
        <v>3.4</v>
      </c>
      <c r="K23" s="10">
        <v>3.4</v>
      </c>
      <c r="L23" s="11">
        <v>3.4</v>
      </c>
      <c r="M23" s="15">
        <v>3.3</v>
      </c>
      <c r="N23" s="15">
        <v>3</v>
      </c>
      <c r="O23" s="15">
        <v>4.3</v>
      </c>
      <c r="P23" s="15">
        <v>3.1</v>
      </c>
      <c r="Q23" s="15">
        <v>3.4</v>
      </c>
      <c r="R23" s="15">
        <v>3.6</v>
      </c>
      <c r="S23" s="15">
        <v>3.8</v>
      </c>
      <c r="T23" s="15">
        <v>2.7</v>
      </c>
      <c r="U23" s="15">
        <v>3.8</v>
      </c>
      <c r="V23" s="11">
        <v>4.2</v>
      </c>
      <c r="W23" s="15">
        <v>4</v>
      </c>
      <c r="X23" s="15">
        <v>4.0999999999999996</v>
      </c>
      <c r="Y23" s="15">
        <v>3</v>
      </c>
      <c r="Z23" s="15">
        <v>4.5</v>
      </c>
      <c r="AA23" s="15">
        <v>5.0999999999999996</v>
      </c>
      <c r="AB23" s="15">
        <v>4.5999999999999996</v>
      </c>
      <c r="AC23" s="15">
        <v>4.5</v>
      </c>
      <c r="AD23" s="15">
        <v>3.1</v>
      </c>
      <c r="AE23" s="10">
        <v>2.6</v>
      </c>
      <c r="AF23" s="11">
        <v>6</v>
      </c>
      <c r="AG23" s="15">
        <v>3.6</v>
      </c>
      <c r="AH23" s="15">
        <v>4.2</v>
      </c>
      <c r="AI23" s="15">
        <v>3.2</v>
      </c>
      <c r="AJ23" s="15">
        <v>5.0999999999999996</v>
      </c>
      <c r="AK23" s="15">
        <v>5.0999999999999996</v>
      </c>
      <c r="AL23" s="15">
        <v>5</v>
      </c>
      <c r="AM23" s="15">
        <v>4.9000000000000004</v>
      </c>
      <c r="AN23" s="15">
        <v>5.5</v>
      </c>
      <c r="AO23" s="10">
        <v>5.3</v>
      </c>
    </row>
    <row r="24" spans="1:41" x14ac:dyDescent="0.2">
      <c r="A24" s="1" t="s">
        <v>24</v>
      </c>
      <c r="B24" s="11">
        <v>3</v>
      </c>
      <c r="C24" s="15">
        <v>3</v>
      </c>
      <c r="D24" s="15">
        <v>2.2999999999999998</v>
      </c>
      <c r="E24" s="15">
        <v>3.5</v>
      </c>
      <c r="F24" s="15">
        <v>3.1</v>
      </c>
      <c r="G24" s="15">
        <v>3.7</v>
      </c>
      <c r="H24" s="15">
        <v>2.7</v>
      </c>
      <c r="I24" s="15">
        <v>3.4</v>
      </c>
      <c r="J24" s="15">
        <v>3.3</v>
      </c>
      <c r="K24" s="10">
        <v>3.3</v>
      </c>
      <c r="L24" s="11">
        <v>3.7</v>
      </c>
      <c r="M24" s="15">
        <v>3.2</v>
      </c>
      <c r="N24" s="15">
        <v>2.9</v>
      </c>
      <c r="O24" s="15">
        <v>3.9</v>
      </c>
      <c r="P24" s="15">
        <v>3</v>
      </c>
      <c r="Q24" s="15">
        <v>3.8</v>
      </c>
      <c r="R24" s="15">
        <v>3.5</v>
      </c>
      <c r="S24" s="15">
        <v>3.7</v>
      </c>
      <c r="T24" s="15">
        <v>2.4</v>
      </c>
      <c r="U24" s="15">
        <v>3.8</v>
      </c>
      <c r="V24" s="11">
        <v>3.6</v>
      </c>
      <c r="W24" s="15">
        <v>3.5</v>
      </c>
      <c r="X24" s="15">
        <v>3.6</v>
      </c>
      <c r="Y24" s="15">
        <v>2.7</v>
      </c>
      <c r="Z24" s="15">
        <v>4</v>
      </c>
      <c r="AA24" s="15">
        <v>4.5</v>
      </c>
      <c r="AB24" s="15">
        <v>4.0999999999999996</v>
      </c>
      <c r="AC24" s="15">
        <v>4.0999999999999996</v>
      </c>
      <c r="AD24" s="15">
        <v>3</v>
      </c>
      <c r="AE24" s="10">
        <v>2.4</v>
      </c>
      <c r="AF24" s="11">
        <v>5.6</v>
      </c>
      <c r="AG24" s="15">
        <v>3.3</v>
      </c>
      <c r="AH24" s="15">
        <v>3.7</v>
      </c>
      <c r="AI24" s="15">
        <v>3</v>
      </c>
      <c r="AJ24" s="15">
        <v>4.5</v>
      </c>
      <c r="AK24" s="15">
        <v>4.5999999999999996</v>
      </c>
      <c r="AL24" s="15">
        <v>4.5999999999999996</v>
      </c>
      <c r="AM24" s="15">
        <v>4.7</v>
      </c>
      <c r="AN24" s="15">
        <v>4.7</v>
      </c>
      <c r="AO24" s="10">
        <v>4.7</v>
      </c>
    </row>
    <row r="25" spans="1:41" x14ac:dyDescent="0.2">
      <c r="A25" s="1" t="s">
        <v>25</v>
      </c>
      <c r="B25" s="11">
        <v>2.7</v>
      </c>
      <c r="C25" s="15">
        <v>2.8</v>
      </c>
      <c r="D25" s="15">
        <v>2</v>
      </c>
      <c r="E25" s="15">
        <v>3.5</v>
      </c>
      <c r="F25" s="15">
        <v>2.9</v>
      </c>
      <c r="G25" s="15">
        <v>3.4</v>
      </c>
      <c r="H25" s="15">
        <v>2.6</v>
      </c>
      <c r="I25" s="15">
        <v>3.1</v>
      </c>
      <c r="J25" s="15">
        <v>3.1</v>
      </c>
      <c r="K25" s="10">
        <v>3</v>
      </c>
      <c r="L25" s="11">
        <v>3</v>
      </c>
      <c r="M25" s="15">
        <v>3.2</v>
      </c>
      <c r="N25" s="15">
        <v>2.6</v>
      </c>
      <c r="O25" s="15">
        <v>3.5</v>
      </c>
      <c r="P25" s="15">
        <v>2.4</v>
      </c>
      <c r="Q25" s="15">
        <v>3.3</v>
      </c>
      <c r="R25" s="15">
        <v>3.1</v>
      </c>
      <c r="S25" s="15">
        <v>3.7</v>
      </c>
      <c r="T25" s="15">
        <v>2.2000000000000002</v>
      </c>
      <c r="U25" s="15">
        <v>3.6</v>
      </c>
      <c r="V25" s="11">
        <v>3.8</v>
      </c>
      <c r="W25" s="15">
        <v>3.7</v>
      </c>
      <c r="X25" s="15">
        <v>3.7</v>
      </c>
      <c r="Y25" s="15">
        <v>2.8</v>
      </c>
      <c r="Z25" s="15">
        <v>4.5</v>
      </c>
      <c r="AA25" s="15">
        <v>4.8</v>
      </c>
      <c r="AB25" s="15">
        <v>4.5999999999999996</v>
      </c>
      <c r="AC25" s="15">
        <v>4.2</v>
      </c>
      <c r="AD25" s="15">
        <v>3</v>
      </c>
      <c r="AE25" s="10">
        <v>2.5</v>
      </c>
      <c r="AF25" s="11">
        <v>5.9</v>
      </c>
      <c r="AG25" s="15">
        <v>3.4</v>
      </c>
      <c r="AH25" s="15">
        <v>3.9</v>
      </c>
      <c r="AI25" s="15">
        <v>2.8</v>
      </c>
      <c r="AJ25" s="15">
        <v>4.8</v>
      </c>
      <c r="AK25" s="15">
        <v>5.0999999999999996</v>
      </c>
      <c r="AL25" s="15">
        <v>5.0999999999999996</v>
      </c>
      <c r="AM25" s="15">
        <v>5</v>
      </c>
      <c r="AN25" s="15">
        <v>5.2</v>
      </c>
      <c r="AO25" s="10">
        <v>5.2</v>
      </c>
    </row>
    <row r="26" spans="1:41" x14ac:dyDescent="0.2">
      <c r="A26" s="1" t="s">
        <v>26</v>
      </c>
      <c r="B26" s="11">
        <v>2.9</v>
      </c>
      <c r="C26" s="15">
        <v>2.7</v>
      </c>
      <c r="D26" s="15">
        <v>2.1</v>
      </c>
      <c r="E26" s="15">
        <v>3.1</v>
      </c>
      <c r="F26" s="15">
        <v>3</v>
      </c>
      <c r="G26" s="15">
        <v>3.4</v>
      </c>
      <c r="H26" s="15">
        <v>2.5</v>
      </c>
      <c r="I26" s="15">
        <v>3.3</v>
      </c>
      <c r="J26" s="15">
        <v>3.1</v>
      </c>
      <c r="K26" s="10">
        <v>3.2</v>
      </c>
      <c r="L26" s="11">
        <v>3.2</v>
      </c>
      <c r="M26" s="15">
        <v>3.1</v>
      </c>
      <c r="N26" s="15">
        <v>2.7</v>
      </c>
      <c r="O26" s="15">
        <v>4</v>
      </c>
      <c r="P26" s="15">
        <v>2.7</v>
      </c>
      <c r="Q26" s="15">
        <v>3.3</v>
      </c>
      <c r="R26" s="15">
        <v>3.1</v>
      </c>
      <c r="S26" s="15">
        <v>3.7</v>
      </c>
      <c r="T26" s="15">
        <v>2.2000000000000002</v>
      </c>
      <c r="U26" s="15">
        <v>3.4</v>
      </c>
      <c r="V26" s="11">
        <v>3.4</v>
      </c>
      <c r="W26" s="15">
        <v>3.1</v>
      </c>
      <c r="X26" s="15">
        <v>3.3</v>
      </c>
      <c r="Y26" s="15">
        <v>2.7</v>
      </c>
      <c r="Z26" s="15">
        <v>4.0999999999999996</v>
      </c>
      <c r="AA26" s="15">
        <v>4.5999999999999996</v>
      </c>
      <c r="AB26" s="15">
        <v>4.4000000000000004</v>
      </c>
      <c r="AC26" s="15">
        <v>4.0999999999999996</v>
      </c>
      <c r="AD26" s="15">
        <v>2.8</v>
      </c>
      <c r="AE26" s="10">
        <v>2.1</v>
      </c>
      <c r="AF26" s="11">
        <v>5.6</v>
      </c>
      <c r="AG26" s="15">
        <v>3.4</v>
      </c>
      <c r="AH26" s="15">
        <v>3.7</v>
      </c>
      <c r="AI26" s="15">
        <v>2.7</v>
      </c>
      <c r="AJ26" s="15">
        <v>4.5</v>
      </c>
      <c r="AK26" s="15">
        <v>4.9000000000000004</v>
      </c>
      <c r="AL26" s="15">
        <v>4.5999999999999996</v>
      </c>
      <c r="AM26" s="15">
        <v>4.5999999999999996</v>
      </c>
      <c r="AN26" s="15">
        <v>4.5999999999999996</v>
      </c>
      <c r="AO26" s="10">
        <v>4.8</v>
      </c>
    </row>
    <row r="27" spans="1:41" x14ac:dyDescent="0.2">
      <c r="A27" s="1" t="s">
        <v>33</v>
      </c>
      <c r="B27" s="11">
        <v>3.08</v>
      </c>
      <c r="C27" s="15">
        <v>2.5299999999999998</v>
      </c>
      <c r="D27" s="15">
        <v>2.09</v>
      </c>
      <c r="E27" s="15">
        <v>3.74</v>
      </c>
      <c r="F27" s="15">
        <v>2.84</v>
      </c>
      <c r="G27" s="15">
        <v>3.52</v>
      </c>
      <c r="H27" s="15">
        <v>2.5299999999999998</v>
      </c>
      <c r="I27" s="15">
        <v>3.19</v>
      </c>
      <c r="J27" s="15">
        <v>3.19</v>
      </c>
      <c r="K27" s="10">
        <v>3.19</v>
      </c>
      <c r="L27" s="11">
        <v>3.96</v>
      </c>
      <c r="M27" s="15">
        <v>3.74</v>
      </c>
      <c r="N27" s="15">
        <v>3.08</v>
      </c>
      <c r="O27" s="15">
        <v>4.4000000000000004</v>
      </c>
      <c r="P27" s="15">
        <v>2.86</v>
      </c>
      <c r="Q27" s="15">
        <v>4.18</v>
      </c>
      <c r="R27" s="15">
        <v>3.96</v>
      </c>
      <c r="S27" s="15">
        <v>4.29</v>
      </c>
      <c r="T27" s="15">
        <v>2.42</v>
      </c>
      <c r="U27" s="15">
        <v>4.07</v>
      </c>
      <c r="V27" s="11">
        <v>3.63</v>
      </c>
      <c r="W27" s="15">
        <v>3.41</v>
      </c>
      <c r="X27" s="15">
        <v>3.52</v>
      </c>
      <c r="Y27" s="15">
        <v>2.31</v>
      </c>
      <c r="Z27" s="15">
        <v>4.51</v>
      </c>
      <c r="AA27" s="15">
        <v>5.28</v>
      </c>
      <c r="AB27" s="15">
        <v>4.62</v>
      </c>
      <c r="AC27" s="15">
        <v>4.18</v>
      </c>
      <c r="AD27" s="15">
        <v>2.86</v>
      </c>
      <c r="AE27" s="10">
        <v>1.76</v>
      </c>
      <c r="AF27" s="11">
        <v>6.49</v>
      </c>
      <c r="AG27" s="15">
        <v>4.29</v>
      </c>
      <c r="AH27" s="15">
        <v>4.62</v>
      </c>
      <c r="AI27" s="15">
        <v>2.97</v>
      </c>
      <c r="AJ27" s="15">
        <v>5.5</v>
      </c>
      <c r="AK27" s="15">
        <v>5.83</v>
      </c>
      <c r="AL27" s="15">
        <v>6.27</v>
      </c>
      <c r="AM27" s="15">
        <v>5.72</v>
      </c>
      <c r="AN27" s="15">
        <v>5.72</v>
      </c>
      <c r="AO27" s="10">
        <v>6.05</v>
      </c>
    </row>
    <row r="28" spans="1:41" x14ac:dyDescent="0.2">
      <c r="A28" s="1" t="s">
        <v>34</v>
      </c>
      <c r="B28" s="11">
        <v>2.6</v>
      </c>
      <c r="C28" s="15">
        <v>2.4</v>
      </c>
      <c r="D28" s="15">
        <v>2</v>
      </c>
      <c r="E28" s="15">
        <v>3</v>
      </c>
      <c r="F28" s="15">
        <v>2.5</v>
      </c>
      <c r="G28" s="15">
        <v>3.3</v>
      </c>
      <c r="H28" s="15">
        <v>2.1</v>
      </c>
      <c r="I28" s="15">
        <v>2.8</v>
      </c>
      <c r="J28" s="15">
        <v>3.1</v>
      </c>
      <c r="K28" s="10">
        <v>2.9</v>
      </c>
      <c r="L28" s="11">
        <v>3.1</v>
      </c>
      <c r="M28" s="15">
        <v>2.9</v>
      </c>
      <c r="N28" s="15">
        <v>2.4</v>
      </c>
      <c r="O28" s="15">
        <v>3.5</v>
      </c>
      <c r="P28" s="15">
        <v>2.7</v>
      </c>
      <c r="Q28" s="15">
        <v>3</v>
      </c>
      <c r="R28" s="15">
        <v>3.2</v>
      </c>
      <c r="S28" s="15">
        <v>3.7</v>
      </c>
      <c r="T28" s="15">
        <v>2.2000000000000002</v>
      </c>
      <c r="U28" s="15">
        <v>3.6</v>
      </c>
      <c r="V28" s="11">
        <v>3.2</v>
      </c>
      <c r="W28" s="15">
        <v>3.1</v>
      </c>
      <c r="X28" s="15">
        <v>3.2</v>
      </c>
      <c r="Y28" s="15">
        <v>2.2999999999999998</v>
      </c>
      <c r="Z28" s="15">
        <v>3.6</v>
      </c>
      <c r="AA28" s="15">
        <v>4.2</v>
      </c>
      <c r="AB28" s="15">
        <v>3.9</v>
      </c>
      <c r="AC28" s="15">
        <v>3.5</v>
      </c>
      <c r="AD28" s="15">
        <v>2.4</v>
      </c>
      <c r="AE28" s="10">
        <v>1.5</v>
      </c>
      <c r="AF28" s="11">
        <v>5.5</v>
      </c>
      <c r="AG28" s="15">
        <v>3.3</v>
      </c>
      <c r="AH28" s="15">
        <v>3.8</v>
      </c>
      <c r="AI28" s="15">
        <v>2.7</v>
      </c>
      <c r="AJ28" s="15">
        <v>4.5</v>
      </c>
      <c r="AK28" s="15">
        <v>4.5</v>
      </c>
      <c r="AL28" s="15">
        <v>4.5999999999999996</v>
      </c>
      <c r="AM28" s="15">
        <v>4.5999999999999996</v>
      </c>
      <c r="AN28" s="15">
        <v>4.9000000000000004</v>
      </c>
      <c r="AO28" s="10">
        <v>4.9000000000000004</v>
      </c>
    </row>
    <row r="29" spans="1:41" ht="19" thickBot="1" x14ac:dyDescent="0.25">
      <c r="A29" s="1" t="s">
        <v>35</v>
      </c>
      <c r="B29" s="11">
        <v>2.6</v>
      </c>
      <c r="C29" s="15">
        <v>2.6</v>
      </c>
      <c r="D29" s="15">
        <v>1.8</v>
      </c>
      <c r="E29" s="15">
        <v>3.1</v>
      </c>
      <c r="F29" s="15">
        <v>3.1</v>
      </c>
      <c r="G29" s="15">
        <v>3.4</v>
      </c>
      <c r="H29" s="15">
        <v>2</v>
      </c>
      <c r="I29" s="15">
        <v>2.9</v>
      </c>
      <c r="J29" s="15">
        <v>2.9</v>
      </c>
      <c r="K29" s="10">
        <v>3</v>
      </c>
      <c r="L29" s="11">
        <v>3.6</v>
      </c>
      <c r="M29" s="15">
        <v>3.7</v>
      </c>
      <c r="N29" s="15">
        <v>2.8</v>
      </c>
      <c r="O29" s="15">
        <v>4.2</v>
      </c>
      <c r="P29" s="15">
        <v>2.8</v>
      </c>
      <c r="Q29" s="15">
        <v>3.6</v>
      </c>
      <c r="R29" s="15">
        <v>3.6</v>
      </c>
      <c r="S29" s="15">
        <v>4.0999999999999996</v>
      </c>
      <c r="T29" s="15">
        <v>2.6</v>
      </c>
      <c r="U29" s="15">
        <v>3.9</v>
      </c>
      <c r="V29" s="11">
        <v>3.1</v>
      </c>
      <c r="W29" s="15">
        <v>3</v>
      </c>
      <c r="X29" s="15">
        <v>3.3</v>
      </c>
      <c r="Y29" s="15">
        <v>2.1</v>
      </c>
      <c r="Z29" s="15">
        <v>3.6</v>
      </c>
      <c r="AA29" s="15">
        <v>4.3</v>
      </c>
      <c r="AB29" s="15">
        <v>4.2</v>
      </c>
      <c r="AC29" s="15">
        <v>3.6</v>
      </c>
      <c r="AD29" s="15">
        <v>2.4</v>
      </c>
      <c r="AE29" s="10">
        <v>1.5</v>
      </c>
      <c r="AF29" s="11">
        <v>6.4</v>
      </c>
      <c r="AG29" s="15">
        <v>3.9</v>
      </c>
      <c r="AH29" s="15">
        <v>4.2</v>
      </c>
      <c r="AI29" s="15">
        <v>2.8</v>
      </c>
      <c r="AJ29" s="15">
        <v>5.2</v>
      </c>
      <c r="AK29" s="15">
        <v>5.4</v>
      </c>
      <c r="AL29" s="15">
        <v>5.0999999999999996</v>
      </c>
      <c r="AM29" s="15">
        <v>5.3</v>
      </c>
      <c r="AN29" s="15">
        <v>5.4</v>
      </c>
      <c r="AO29" s="10">
        <v>5.6</v>
      </c>
    </row>
    <row r="30" spans="1:41" x14ac:dyDescent="0.2">
      <c r="A30" s="1" t="s">
        <v>40</v>
      </c>
      <c r="B30" s="11">
        <v>2.9</v>
      </c>
      <c r="C30" s="15">
        <v>2.8</v>
      </c>
      <c r="D30" s="15">
        <v>1.6</v>
      </c>
      <c r="E30" s="15">
        <v>3.2</v>
      </c>
      <c r="F30" s="15">
        <v>2.8</v>
      </c>
      <c r="G30" s="15">
        <v>3.5</v>
      </c>
      <c r="H30" s="15">
        <v>1.9</v>
      </c>
      <c r="I30" s="15">
        <v>3</v>
      </c>
      <c r="J30" s="15">
        <v>3</v>
      </c>
      <c r="K30" s="10">
        <v>3.2</v>
      </c>
      <c r="L30" s="11">
        <v>3.4</v>
      </c>
      <c r="M30" s="15">
        <v>3.4</v>
      </c>
      <c r="N30" s="15">
        <v>2.4</v>
      </c>
      <c r="O30" s="15">
        <v>3.8</v>
      </c>
      <c r="P30" s="15">
        <v>2.6</v>
      </c>
      <c r="Q30" s="15">
        <v>3.4</v>
      </c>
      <c r="R30" s="15">
        <v>3.3</v>
      </c>
      <c r="S30" s="15">
        <v>3.4</v>
      </c>
      <c r="T30" s="15">
        <v>1.8</v>
      </c>
      <c r="U30" s="15">
        <v>3.5</v>
      </c>
      <c r="V30" s="152" t="s">
        <v>39</v>
      </c>
      <c r="W30" s="153"/>
      <c r="X30" s="15">
        <v>3.6</v>
      </c>
      <c r="Y30" s="15">
        <v>2.5</v>
      </c>
      <c r="Z30" s="15">
        <v>3.8</v>
      </c>
      <c r="AA30" s="15">
        <v>4.7</v>
      </c>
      <c r="AB30" s="15">
        <v>4.2</v>
      </c>
      <c r="AC30" s="15">
        <v>3.5</v>
      </c>
      <c r="AD30" s="15">
        <v>2.8</v>
      </c>
      <c r="AE30" s="10">
        <v>1.6</v>
      </c>
      <c r="AF30" s="11">
        <v>6.2</v>
      </c>
      <c r="AG30" s="15">
        <v>3.3</v>
      </c>
      <c r="AH30" s="15">
        <v>4.0999999999999996</v>
      </c>
      <c r="AI30" s="15">
        <v>2.8</v>
      </c>
      <c r="AJ30" s="15">
        <v>4.9000000000000004</v>
      </c>
      <c r="AK30" s="15">
        <v>4.9000000000000004</v>
      </c>
      <c r="AL30" s="15">
        <v>4.8</v>
      </c>
      <c r="AM30" s="15">
        <v>4.9000000000000004</v>
      </c>
      <c r="AN30" s="15">
        <v>5.2</v>
      </c>
      <c r="AO30" s="10">
        <v>4.9000000000000004</v>
      </c>
    </row>
    <row r="31" spans="1:41" x14ac:dyDescent="0.2">
      <c r="A31" s="1" t="s">
        <v>41</v>
      </c>
      <c r="B31" s="11">
        <v>2.5</v>
      </c>
      <c r="C31" s="15">
        <v>2.6</v>
      </c>
      <c r="D31" s="15">
        <v>1.6</v>
      </c>
      <c r="E31" s="15">
        <v>3.1</v>
      </c>
      <c r="F31" s="15">
        <v>3</v>
      </c>
      <c r="G31" s="15">
        <v>3.6</v>
      </c>
      <c r="H31" s="15">
        <v>1.8</v>
      </c>
      <c r="I31" s="15">
        <v>2.9</v>
      </c>
      <c r="J31" s="15">
        <v>2.8</v>
      </c>
      <c r="K31" s="10">
        <v>3</v>
      </c>
      <c r="L31" s="11">
        <v>3.9</v>
      </c>
      <c r="M31" s="15">
        <v>3.7</v>
      </c>
      <c r="N31" s="15">
        <v>2.8</v>
      </c>
      <c r="O31" s="15">
        <v>4.5</v>
      </c>
      <c r="P31" s="15">
        <v>2.4</v>
      </c>
      <c r="Q31" s="15">
        <v>3.8</v>
      </c>
      <c r="R31" s="15">
        <v>3.8</v>
      </c>
      <c r="S31" s="15">
        <v>4.3</v>
      </c>
      <c r="T31" s="15">
        <v>2.4</v>
      </c>
      <c r="U31" s="15">
        <v>4.0999999999999996</v>
      </c>
      <c r="V31" s="154"/>
      <c r="W31" s="155"/>
      <c r="X31" s="15">
        <v>3.4</v>
      </c>
      <c r="Y31" s="15">
        <v>2.1</v>
      </c>
      <c r="Z31" s="15">
        <v>3.7</v>
      </c>
      <c r="AA31" s="15">
        <v>4.7</v>
      </c>
      <c r="AB31" s="15">
        <v>4.2</v>
      </c>
      <c r="AC31" s="15">
        <v>3.5</v>
      </c>
      <c r="AD31" s="15">
        <v>2.4</v>
      </c>
      <c r="AE31" s="10">
        <v>1.5</v>
      </c>
      <c r="AF31" s="11">
        <v>6.7</v>
      </c>
      <c r="AG31" s="15">
        <v>3.7</v>
      </c>
      <c r="AH31" s="15">
        <v>4.3</v>
      </c>
      <c r="AI31" s="15">
        <v>3</v>
      </c>
      <c r="AJ31" s="15">
        <v>5.5</v>
      </c>
      <c r="AK31" s="15">
        <v>5.5</v>
      </c>
      <c r="AL31" s="15">
        <v>5.4</v>
      </c>
      <c r="AM31" s="15">
        <v>5.6</v>
      </c>
      <c r="AN31" s="15">
        <v>5.8</v>
      </c>
      <c r="AO31" s="10">
        <v>5.5</v>
      </c>
    </row>
    <row r="32" spans="1:41" x14ac:dyDescent="0.2">
      <c r="A32" s="1" t="s">
        <v>42</v>
      </c>
      <c r="B32" s="11">
        <v>3.1</v>
      </c>
      <c r="C32" s="15">
        <v>3.2</v>
      </c>
      <c r="D32" s="15">
        <v>2</v>
      </c>
      <c r="E32" s="15">
        <v>3.7</v>
      </c>
      <c r="F32" s="15">
        <v>3.9</v>
      </c>
      <c r="G32" s="15">
        <v>4</v>
      </c>
      <c r="H32" s="15">
        <v>2.5</v>
      </c>
      <c r="I32" s="15">
        <v>3.7</v>
      </c>
      <c r="J32" s="15">
        <v>3.4</v>
      </c>
      <c r="K32" s="10">
        <v>3.5</v>
      </c>
      <c r="L32" s="11">
        <v>4.0999999999999996</v>
      </c>
      <c r="M32" s="15">
        <v>3.9</v>
      </c>
      <c r="N32" s="15">
        <v>3</v>
      </c>
      <c r="O32" s="15">
        <v>4.5999999999999996</v>
      </c>
      <c r="P32" s="15">
        <v>2.7</v>
      </c>
      <c r="Q32" s="15">
        <v>3.9</v>
      </c>
      <c r="R32" s="15">
        <v>3.7</v>
      </c>
      <c r="S32" s="15">
        <v>3.9</v>
      </c>
      <c r="T32" s="15">
        <v>2.7</v>
      </c>
      <c r="U32" s="15">
        <v>4</v>
      </c>
      <c r="V32" s="154"/>
      <c r="W32" s="155"/>
      <c r="X32" s="15">
        <v>3.7</v>
      </c>
      <c r="Y32" s="15">
        <v>2.4</v>
      </c>
      <c r="Z32" s="15">
        <v>4.5999999999999996</v>
      </c>
      <c r="AA32" s="15">
        <v>5.3</v>
      </c>
      <c r="AB32" s="15">
        <v>4.5999999999999996</v>
      </c>
      <c r="AC32" s="15">
        <v>3.9</v>
      </c>
      <c r="AD32" s="15">
        <v>2.9</v>
      </c>
      <c r="AE32" s="10">
        <v>1.6</v>
      </c>
      <c r="AF32" s="11">
        <v>6.1</v>
      </c>
      <c r="AG32" s="15">
        <v>3.6</v>
      </c>
      <c r="AH32" s="15">
        <v>4.2</v>
      </c>
      <c r="AI32" s="15">
        <v>2.8</v>
      </c>
      <c r="AJ32" s="15">
        <v>4.9000000000000004</v>
      </c>
      <c r="AK32" s="15">
        <v>5.3</v>
      </c>
      <c r="AL32" s="15">
        <v>5.4</v>
      </c>
      <c r="AM32" s="15">
        <v>5.0999999999999996</v>
      </c>
      <c r="AN32" s="15">
        <v>5.5</v>
      </c>
      <c r="AO32" s="10">
        <v>5.4</v>
      </c>
    </row>
    <row r="33" spans="1:41" x14ac:dyDescent="0.2">
      <c r="A33" s="1" t="s">
        <v>43</v>
      </c>
      <c r="B33" s="11">
        <v>3</v>
      </c>
      <c r="C33" s="15">
        <v>3.1</v>
      </c>
      <c r="D33" s="15">
        <v>1.8</v>
      </c>
      <c r="E33" s="15">
        <v>3.4</v>
      </c>
      <c r="F33" s="15">
        <v>3.5</v>
      </c>
      <c r="G33" s="15">
        <v>3.8</v>
      </c>
      <c r="H33" s="15">
        <v>2</v>
      </c>
      <c r="I33" s="15">
        <v>3.5</v>
      </c>
      <c r="J33" s="15">
        <v>3.2</v>
      </c>
      <c r="K33" s="10">
        <v>3.5</v>
      </c>
      <c r="L33" s="11">
        <v>4.5999999999999996</v>
      </c>
      <c r="M33" s="15">
        <v>4.3</v>
      </c>
      <c r="N33" s="15">
        <v>2.1</v>
      </c>
      <c r="O33" s="15">
        <v>5.2</v>
      </c>
      <c r="P33" s="15">
        <v>2.9</v>
      </c>
      <c r="Q33" s="15">
        <v>4.3</v>
      </c>
      <c r="R33" s="15">
        <v>4.5999999999999996</v>
      </c>
      <c r="S33" s="15">
        <v>4.8</v>
      </c>
      <c r="T33" s="15">
        <v>3.5</v>
      </c>
      <c r="U33" s="15">
        <v>4.5</v>
      </c>
      <c r="V33" s="154"/>
      <c r="W33" s="155"/>
      <c r="X33" s="15">
        <v>3.5</v>
      </c>
      <c r="Y33" s="15">
        <v>2.1</v>
      </c>
      <c r="Z33" s="15">
        <v>4.2</v>
      </c>
      <c r="AA33" s="15">
        <v>5.0999999999999996</v>
      </c>
      <c r="AB33" s="15">
        <v>4.2</v>
      </c>
      <c r="AC33" s="15">
        <v>3.5</v>
      </c>
      <c r="AD33" s="15">
        <v>2.7</v>
      </c>
      <c r="AE33" s="10">
        <v>1.7</v>
      </c>
      <c r="AF33" s="11">
        <v>6.8</v>
      </c>
      <c r="AG33" s="15">
        <v>4.5</v>
      </c>
      <c r="AH33" s="15">
        <v>4.5</v>
      </c>
      <c r="AI33" s="15">
        <v>3.3</v>
      </c>
      <c r="AJ33" s="15">
        <v>5.5</v>
      </c>
      <c r="AK33" s="15">
        <v>6.2</v>
      </c>
      <c r="AL33" s="15">
        <v>5.8</v>
      </c>
      <c r="AM33" s="15">
        <v>6.1</v>
      </c>
      <c r="AN33" s="15">
        <v>6.4</v>
      </c>
      <c r="AO33" s="10">
        <v>6.3</v>
      </c>
    </row>
    <row r="34" spans="1:41" ht="19" thickBot="1" x14ac:dyDescent="0.25">
      <c r="A34" s="1" t="s">
        <v>53</v>
      </c>
      <c r="B34" s="11">
        <v>2.9</v>
      </c>
      <c r="C34" s="15">
        <v>3.1</v>
      </c>
      <c r="D34" s="15">
        <v>1.8</v>
      </c>
      <c r="E34" s="15">
        <v>3.8</v>
      </c>
      <c r="F34" s="15">
        <v>4</v>
      </c>
      <c r="G34" s="15">
        <v>4.3</v>
      </c>
      <c r="H34" s="15">
        <v>2</v>
      </c>
      <c r="I34" s="15">
        <v>3.5</v>
      </c>
      <c r="J34" s="15">
        <v>3.3</v>
      </c>
      <c r="K34" s="10">
        <v>3.5</v>
      </c>
      <c r="L34" s="11">
        <v>4.2</v>
      </c>
      <c r="M34" s="15">
        <v>4.4000000000000004</v>
      </c>
      <c r="N34" s="15">
        <v>3</v>
      </c>
      <c r="O34" s="15">
        <v>4.8</v>
      </c>
      <c r="P34" s="15">
        <v>2.7</v>
      </c>
      <c r="Q34" s="15">
        <v>4.4000000000000004</v>
      </c>
      <c r="R34" s="15">
        <v>4.3</v>
      </c>
      <c r="S34" s="15">
        <v>4.5</v>
      </c>
      <c r="T34" s="15">
        <v>3</v>
      </c>
      <c r="U34" s="15">
        <v>4.9000000000000004</v>
      </c>
      <c r="V34" s="154"/>
      <c r="W34" s="155"/>
      <c r="X34" s="15">
        <v>3.7</v>
      </c>
      <c r="Y34" s="15">
        <v>2.2999999999999998</v>
      </c>
      <c r="Z34" s="15">
        <v>4.0999999999999996</v>
      </c>
      <c r="AA34" s="15">
        <v>5.0999999999999996</v>
      </c>
      <c r="AB34" s="15">
        <v>4.5</v>
      </c>
      <c r="AC34" s="15">
        <v>3.8</v>
      </c>
      <c r="AD34" s="15">
        <v>2.7</v>
      </c>
      <c r="AE34" s="10">
        <v>1.5</v>
      </c>
      <c r="AF34" s="11">
        <v>6.5</v>
      </c>
      <c r="AG34" s="15">
        <v>4.2</v>
      </c>
      <c r="AH34" s="15">
        <v>4.2</v>
      </c>
      <c r="AI34" s="15">
        <v>3.3</v>
      </c>
      <c r="AJ34" s="15">
        <v>5.0999999999999996</v>
      </c>
      <c r="AK34" s="15">
        <v>5.7</v>
      </c>
      <c r="AL34" s="15">
        <v>5.6</v>
      </c>
      <c r="AM34" s="15">
        <v>5.7</v>
      </c>
      <c r="AN34" s="15">
        <v>5.9</v>
      </c>
      <c r="AO34" s="10">
        <v>5.8</v>
      </c>
    </row>
    <row r="35" spans="1:41" ht="19" thickBot="1" x14ac:dyDescent="0.25">
      <c r="A35" s="1" t="s">
        <v>54</v>
      </c>
      <c r="B35" s="11">
        <v>3.3</v>
      </c>
      <c r="C35" s="15">
        <v>3.2</v>
      </c>
      <c r="D35" s="15">
        <v>1.8</v>
      </c>
      <c r="E35" s="15">
        <v>4</v>
      </c>
      <c r="F35" s="15">
        <v>4</v>
      </c>
      <c r="G35" s="15">
        <v>4</v>
      </c>
      <c r="H35" s="15">
        <v>2.2000000000000002</v>
      </c>
      <c r="I35" s="15">
        <v>3.7</v>
      </c>
      <c r="J35" s="15">
        <v>3.5</v>
      </c>
      <c r="K35" s="10">
        <v>3.7</v>
      </c>
      <c r="L35" s="11">
        <v>4.8</v>
      </c>
      <c r="M35" s="15">
        <v>5.0999999999999996</v>
      </c>
      <c r="N35" s="15">
        <v>3.7</v>
      </c>
      <c r="O35" s="15">
        <v>5.5</v>
      </c>
      <c r="P35" s="15">
        <v>3</v>
      </c>
      <c r="Q35" s="15">
        <v>4.7</v>
      </c>
      <c r="R35" s="15">
        <v>5.0999999999999996</v>
      </c>
      <c r="S35" s="15">
        <v>5.2</v>
      </c>
      <c r="T35" s="15">
        <v>3.5</v>
      </c>
      <c r="U35" s="15">
        <v>5</v>
      </c>
      <c r="V35" s="154"/>
      <c r="W35" s="155"/>
      <c r="X35" s="15">
        <v>3.9</v>
      </c>
      <c r="Y35" s="15">
        <v>2.2999999999999998</v>
      </c>
      <c r="Z35" s="15">
        <v>4.0999999999999996</v>
      </c>
      <c r="AA35" s="15">
        <v>5.3</v>
      </c>
      <c r="AB35" s="15">
        <v>4.8</v>
      </c>
      <c r="AC35" s="15">
        <v>3.8</v>
      </c>
      <c r="AD35" s="15">
        <v>2.8</v>
      </c>
      <c r="AE35" s="10">
        <v>1.7</v>
      </c>
      <c r="AF35" s="107" t="s">
        <v>52</v>
      </c>
      <c r="AG35" s="110"/>
      <c r="AH35" s="110"/>
      <c r="AI35" s="110"/>
      <c r="AJ35" s="110"/>
      <c r="AK35" s="110"/>
      <c r="AL35" s="110"/>
      <c r="AM35" s="110"/>
      <c r="AN35" s="110"/>
      <c r="AO35" s="111"/>
    </row>
    <row r="36" spans="1:41" x14ac:dyDescent="0.2">
      <c r="A36" s="1" t="s">
        <v>55</v>
      </c>
      <c r="B36" s="11">
        <v>3.4</v>
      </c>
      <c r="C36" s="15">
        <v>3.4</v>
      </c>
      <c r="D36" s="15">
        <v>2</v>
      </c>
      <c r="E36" s="15">
        <v>4.2</v>
      </c>
      <c r="F36" s="15">
        <v>4.4000000000000004</v>
      </c>
      <c r="G36" s="15">
        <v>4.2</v>
      </c>
      <c r="H36" s="15">
        <v>2</v>
      </c>
      <c r="I36" s="15">
        <v>3.7</v>
      </c>
      <c r="J36" s="15">
        <v>3.6</v>
      </c>
      <c r="K36" s="10">
        <v>3.8</v>
      </c>
      <c r="L36" s="11">
        <v>4.5999999999999996</v>
      </c>
      <c r="M36" s="15">
        <v>4.8</v>
      </c>
      <c r="N36" s="15">
        <v>2</v>
      </c>
      <c r="O36" s="15">
        <v>5.7</v>
      </c>
      <c r="P36" s="15">
        <v>2.8</v>
      </c>
      <c r="Q36" s="15">
        <v>4.5999999999999996</v>
      </c>
      <c r="R36" s="15">
        <v>4.5999999999999996</v>
      </c>
      <c r="S36" s="15">
        <v>4.8</v>
      </c>
      <c r="T36" s="15">
        <v>3.3</v>
      </c>
      <c r="U36" s="15">
        <v>4.8</v>
      </c>
      <c r="V36" s="154"/>
      <c r="W36" s="155"/>
      <c r="X36" s="15">
        <v>4</v>
      </c>
      <c r="Y36" s="15">
        <v>2.5</v>
      </c>
      <c r="Z36" s="15">
        <v>4.4000000000000004</v>
      </c>
      <c r="AA36" s="15">
        <v>5.6</v>
      </c>
      <c r="AB36" s="15">
        <v>4.7</v>
      </c>
      <c r="AC36" s="15">
        <v>3.8</v>
      </c>
      <c r="AD36" s="15">
        <v>3.1</v>
      </c>
      <c r="AE36" s="10">
        <v>1.5</v>
      </c>
      <c r="AF36" s="53"/>
      <c r="AG36" s="3"/>
      <c r="AH36" s="3"/>
      <c r="AI36" s="3"/>
      <c r="AJ36" s="3"/>
      <c r="AK36" s="3"/>
      <c r="AL36" s="3"/>
      <c r="AM36" s="3"/>
      <c r="AN36" s="3"/>
      <c r="AO36" s="54"/>
    </row>
    <row r="37" spans="1:41" x14ac:dyDescent="0.2">
      <c r="A37" s="1" t="s">
        <v>56</v>
      </c>
      <c r="B37" s="11">
        <v>3.8</v>
      </c>
      <c r="C37" s="15">
        <v>3.6</v>
      </c>
      <c r="D37" s="15">
        <v>1.7</v>
      </c>
      <c r="E37" s="15">
        <v>4.5999999999999996</v>
      </c>
      <c r="F37" s="15">
        <v>5</v>
      </c>
      <c r="G37" s="15">
        <v>4.4000000000000004</v>
      </c>
      <c r="H37" s="15">
        <v>2.1</v>
      </c>
      <c r="I37" s="15">
        <v>3.9</v>
      </c>
      <c r="J37" s="15">
        <v>3.7</v>
      </c>
      <c r="K37" s="10">
        <v>4</v>
      </c>
      <c r="L37" s="11">
        <v>5.0999999999999996</v>
      </c>
      <c r="M37" s="15">
        <v>5</v>
      </c>
      <c r="N37" s="15">
        <v>3.4</v>
      </c>
      <c r="O37" s="15">
        <v>6.5</v>
      </c>
      <c r="P37" s="15">
        <v>3</v>
      </c>
      <c r="Q37" s="15">
        <v>4.8</v>
      </c>
      <c r="R37" s="15">
        <v>5.0999999999999996</v>
      </c>
      <c r="S37" s="15">
        <v>5.3</v>
      </c>
      <c r="T37" s="15">
        <v>3.9</v>
      </c>
      <c r="U37" s="15">
        <v>5.4</v>
      </c>
      <c r="V37" s="154"/>
      <c r="W37" s="155"/>
      <c r="X37" s="15">
        <v>4</v>
      </c>
      <c r="Y37" s="15">
        <v>2.7</v>
      </c>
      <c r="Z37" s="15">
        <v>4.4000000000000004</v>
      </c>
      <c r="AA37" s="15">
        <v>5.8</v>
      </c>
      <c r="AB37" s="15">
        <v>5</v>
      </c>
      <c r="AC37" s="15">
        <v>4.3</v>
      </c>
      <c r="AD37" s="15">
        <v>3.6</v>
      </c>
      <c r="AE37" s="10">
        <v>1.6</v>
      </c>
      <c r="AF37" s="53"/>
      <c r="AG37" s="3"/>
      <c r="AH37" s="3"/>
      <c r="AI37" s="3"/>
      <c r="AJ37" s="3"/>
      <c r="AK37" s="3"/>
      <c r="AL37" s="3"/>
      <c r="AM37" s="3"/>
      <c r="AN37" s="3"/>
      <c r="AO37" s="54"/>
    </row>
    <row r="38" spans="1:41" x14ac:dyDescent="0.2">
      <c r="A38" s="1" t="s">
        <v>57</v>
      </c>
      <c r="B38" s="11">
        <v>5</v>
      </c>
      <c r="C38" s="15">
        <v>4.5999999999999996</v>
      </c>
      <c r="D38" s="15">
        <v>2.1</v>
      </c>
      <c r="E38" s="15">
        <v>5.5</v>
      </c>
      <c r="F38" s="15">
        <v>5.5</v>
      </c>
      <c r="G38" s="15">
        <v>5.0999999999999996</v>
      </c>
      <c r="H38" s="15">
        <v>2.4</v>
      </c>
      <c r="I38" s="15">
        <v>4.7</v>
      </c>
      <c r="J38" s="15">
        <v>4.2</v>
      </c>
      <c r="K38" s="10">
        <v>4.5999999999999996</v>
      </c>
      <c r="L38" s="11">
        <v>5.7</v>
      </c>
      <c r="M38" s="15">
        <v>5.6</v>
      </c>
      <c r="N38" s="15">
        <v>4.5</v>
      </c>
      <c r="O38" s="15">
        <v>6</v>
      </c>
      <c r="P38" s="15">
        <v>3.4</v>
      </c>
      <c r="Q38" s="15">
        <v>5.8</v>
      </c>
      <c r="R38" s="15">
        <v>5.9</v>
      </c>
      <c r="S38" s="15">
        <v>5.8</v>
      </c>
      <c r="T38" s="15">
        <v>3.9</v>
      </c>
      <c r="U38" s="15">
        <v>5.9</v>
      </c>
      <c r="V38" s="154"/>
      <c r="W38" s="155"/>
      <c r="X38" s="15">
        <v>4.5999999999999996</v>
      </c>
      <c r="Y38" s="15">
        <v>3.3</v>
      </c>
      <c r="Z38" s="15">
        <v>5.2</v>
      </c>
      <c r="AA38" s="15">
        <v>6.9</v>
      </c>
      <c r="AB38" s="15">
        <v>5.3</v>
      </c>
      <c r="AC38" s="15">
        <v>4.9000000000000004</v>
      </c>
      <c r="AD38" s="15">
        <v>4.3</v>
      </c>
      <c r="AE38" s="10">
        <v>2.2999999999999998</v>
      </c>
      <c r="AF38" s="53"/>
      <c r="AG38" s="3"/>
      <c r="AH38" s="3"/>
      <c r="AI38" s="3"/>
      <c r="AJ38" s="3"/>
      <c r="AK38" s="3"/>
      <c r="AL38" s="3"/>
      <c r="AM38" s="3"/>
      <c r="AN38" s="3"/>
      <c r="AO38" s="54"/>
    </row>
    <row r="39" spans="1:41" ht="19" thickBot="1" x14ac:dyDescent="0.25">
      <c r="A39" s="1" t="s">
        <v>60</v>
      </c>
      <c r="B39" s="11">
        <v>4.7</v>
      </c>
      <c r="C39" s="15">
        <v>4.4000000000000004</v>
      </c>
      <c r="D39" s="15">
        <v>2.2999999999999998</v>
      </c>
      <c r="E39" s="15">
        <v>5.0999999999999996</v>
      </c>
      <c r="F39" s="15">
        <v>5.4</v>
      </c>
      <c r="G39" s="15">
        <v>5.0999999999999996</v>
      </c>
      <c r="H39" s="15">
        <v>2.2999999999999998</v>
      </c>
      <c r="I39" s="15">
        <v>4.2</v>
      </c>
      <c r="J39" s="15">
        <v>4.3</v>
      </c>
      <c r="K39" s="10">
        <v>4.5</v>
      </c>
      <c r="L39" s="11">
        <v>6.1</v>
      </c>
      <c r="M39" s="15">
        <v>5.6</v>
      </c>
      <c r="N39" s="15">
        <v>4.7</v>
      </c>
      <c r="O39" s="15">
        <v>6.5</v>
      </c>
      <c r="P39" s="15">
        <v>3.5</v>
      </c>
      <c r="Q39" s="15">
        <v>5.4</v>
      </c>
      <c r="R39" s="15">
        <v>5.5</v>
      </c>
      <c r="S39" s="15">
        <v>5.7</v>
      </c>
      <c r="T39" s="15">
        <v>2.6</v>
      </c>
      <c r="U39" s="15">
        <v>6.1</v>
      </c>
      <c r="V39" s="154"/>
      <c r="W39" s="155"/>
      <c r="X39" s="15">
        <v>4.5999999999999996</v>
      </c>
      <c r="Y39" s="15">
        <v>3.1</v>
      </c>
      <c r="Z39" s="15">
        <v>5.2</v>
      </c>
      <c r="AA39" s="15">
        <v>6.5</v>
      </c>
      <c r="AB39" s="15">
        <v>5.2</v>
      </c>
      <c r="AC39" s="15">
        <v>4.5</v>
      </c>
      <c r="AD39" s="15">
        <v>4.3</v>
      </c>
      <c r="AE39" s="10">
        <v>1.8</v>
      </c>
      <c r="AF39" s="11"/>
      <c r="AG39" s="15"/>
      <c r="AH39" s="15"/>
      <c r="AI39" s="15"/>
      <c r="AJ39" s="15"/>
      <c r="AK39" s="15"/>
      <c r="AL39" s="15"/>
      <c r="AM39" s="15"/>
      <c r="AN39" s="15"/>
      <c r="AO39" s="10"/>
    </row>
    <row r="40" spans="1:41" ht="19" thickBot="1" x14ac:dyDescent="0.25">
      <c r="B40" s="107" t="s">
        <v>66</v>
      </c>
      <c r="C40" s="108"/>
      <c r="D40" s="108"/>
      <c r="E40" s="108"/>
      <c r="F40" s="108"/>
      <c r="G40" s="108"/>
      <c r="H40" s="108"/>
      <c r="I40" s="108"/>
      <c r="J40" s="108"/>
      <c r="K40" s="109"/>
      <c r="L40" s="107" t="s">
        <v>66</v>
      </c>
      <c r="M40" s="108"/>
      <c r="N40" s="108"/>
      <c r="O40" s="108"/>
      <c r="P40" s="108"/>
      <c r="Q40" s="108"/>
      <c r="R40" s="108"/>
      <c r="S40" s="108"/>
      <c r="T40" s="108"/>
      <c r="U40" s="109"/>
      <c r="V40" s="154"/>
      <c r="W40" s="156"/>
      <c r="X40" s="107" t="s">
        <v>66</v>
      </c>
      <c r="Y40" s="110"/>
      <c r="Z40" s="110"/>
      <c r="AA40" s="110"/>
      <c r="AB40" s="110"/>
      <c r="AC40" s="110"/>
      <c r="AD40" s="110"/>
      <c r="AE40" s="111"/>
      <c r="AF40" s="55"/>
      <c r="AG40" s="55"/>
      <c r="AH40" s="15"/>
      <c r="AI40" s="15"/>
      <c r="AJ40" s="15"/>
      <c r="AK40" s="15"/>
      <c r="AL40" s="15"/>
      <c r="AM40" s="15"/>
      <c r="AN40" s="15"/>
      <c r="AO40" s="10"/>
    </row>
    <row r="41" spans="1:41" ht="19" thickBot="1" x14ac:dyDescent="0.25">
      <c r="B41" s="12"/>
      <c r="C41" s="13"/>
      <c r="D41" s="13"/>
      <c r="E41" s="13"/>
      <c r="F41" s="13"/>
      <c r="G41" s="13"/>
      <c r="H41" s="13"/>
      <c r="I41" s="13"/>
      <c r="J41" s="13"/>
      <c r="K41" s="14"/>
      <c r="L41" s="12"/>
      <c r="M41" s="13"/>
      <c r="N41" s="13"/>
      <c r="O41" s="13"/>
      <c r="P41" s="13"/>
      <c r="Q41" s="13"/>
      <c r="R41" s="13"/>
      <c r="S41" s="13"/>
      <c r="T41" s="13"/>
      <c r="U41" s="13"/>
      <c r="V41" s="157"/>
      <c r="W41" s="158"/>
      <c r="X41" s="13"/>
      <c r="Y41" s="13"/>
      <c r="Z41" s="13"/>
      <c r="AA41" s="13"/>
      <c r="AB41" s="13"/>
      <c r="AC41" s="13"/>
      <c r="AD41" s="13"/>
      <c r="AE41" s="14"/>
      <c r="AF41" s="12"/>
      <c r="AG41" s="13"/>
      <c r="AH41" s="13"/>
      <c r="AI41" s="13"/>
      <c r="AJ41" s="13"/>
      <c r="AK41" s="13"/>
      <c r="AL41" s="13"/>
      <c r="AM41" s="13"/>
      <c r="AN41" s="13"/>
      <c r="AO41" s="14"/>
    </row>
    <row r="42" spans="1:41" x14ac:dyDescent="0.2">
      <c r="X42" s="15"/>
      <c r="Y42" s="15"/>
      <c r="Z42" s="15"/>
      <c r="AA42" s="15"/>
      <c r="AB42" s="15"/>
      <c r="AC42" s="15"/>
      <c r="AD42" s="15"/>
      <c r="AE42" s="15"/>
    </row>
    <row r="43" spans="1:41" x14ac:dyDescent="0.2">
      <c r="X43" s="15"/>
      <c r="Y43" s="15"/>
      <c r="Z43" s="15"/>
      <c r="AA43" s="15"/>
      <c r="AB43" s="15"/>
      <c r="AC43" s="15"/>
      <c r="AD43" s="15"/>
      <c r="AE43" s="15"/>
    </row>
    <row r="44" spans="1:41" x14ac:dyDescent="0.2">
      <c r="A44" s="1" t="s">
        <v>45</v>
      </c>
      <c r="B44" s="1" t="s">
        <v>44</v>
      </c>
    </row>
    <row r="45" spans="1:41" x14ac:dyDescent="0.2">
      <c r="A45" s="1" t="s">
        <v>46</v>
      </c>
      <c r="B45" s="159" t="s">
        <v>50</v>
      </c>
      <c r="C45" s="159"/>
      <c r="D45" s="159"/>
      <c r="E45" s="159"/>
      <c r="F45" s="159"/>
      <c r="G45" s="159"/>
      <c r="H45" s="159"/>
      <c r="I45" s="159"/>
      <c r="J45" s="159"/>
      <c r="K45" s="159"/>
    </row>
    <row r="46" spans="1:41" x14ac:dyDescent="0.2">
      <c r="A46" s="1" t="s">
        <v>47</v>
      </c>
      <c r="B46" s="159" t="s">
        <v>48</v>
      </c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</row>
    <row r="47" spans="1:41" x14ac:dyDescent="0.2">
      <c r="A47" s="1" t="s">
        <v>49</v>
      </c>
      <c r="B47" s="1" t="s">
        <v>51</v>
      </c>
    </row>
    <row r="48" spans="1:41" x14ac:dyDescent="0.2">
      <c r="A48" s="1" t="s">
        <v>58</v>
      </c>
      <c r="B48" s="1" t="s">
        <v>59</v>
      </c>
    </row>
    <row r="49" spans="1:41" x14ac:dyDescent="0.2">
      <c r="A49" s="1" t="s">
        <v>61</v>
      </c>
      <c r="B49" s="1" t="s">
        <v>62</v>
      </c>
    </row>
    <row r="53" spans="1:41" ht="19" thickBot="1" x14ac:dyDescent="0.25"/>
    <row r="54" spans="1:41" ht="19" customHeight="1" thickBot="1" x14ac:dyDescent="0.25">
      <c r="A54" s="160" t="s">
        <v>6</v>
      </c>
      <c r="B54" s="136">
        <v>295</v>
      </c>
      <c r="C54" s="137"/>
      <c r="D54" s="137"/>
      <c r="E54" s="137"/>
      <c r="F54" s="137"/>
      <c r="G54" s="137"/>
      <c r="H54" s="137"/>
      <c r="I54" s="137"/>
      <c r="J54" s="137"/>
      <c r="K54" s="138"/>
      <c r="L54" s="136">
        <v>294</v>
      </c>
      <c r="M54" s="137"/>
      <c r="N54" s="137"/>
      <c r="O54" s="137"/>
      <c r="P54" s="137"/>
      <c r="Q54" s="137"/>
      <c r="R54" s="137"/>
      <c r="S54" s="137"/>
      <c r="T54" s="137"/>
      <c r="U54" s="138"/>
      <c r="V54" s="136">
        <v>290</v>
      </c>
      <c r="W54" s="137"/>
      <c r="X54" s="137"/>
      <c r="Y54" s="137"/>
      <c r="Z54" s="137"/>
      <c r="AA54" s="137"/>
      <c r="AB54" s="137"/>
      <c r="AC54" s="137"/>
      <c r="AD54" s="137"/>
      <c r="AE54" s="138"/>
      <c r="AF54" s="136">
        <v>289</v>
      </c>
      <c r="AG54" s="137"/>
      <c r="AH54" s="137"/>
      <c r="AI54" s="137"/>
      <c r="AJ54" s="137"/>
      <c r="AK54" s="137"/>
      <c r="AL54" s="137"/>
      <c r="AM54" s="137"/>
      <c r="AN54" s="137"/>
      <c r="AO54" s="138"/>
    </row>
    <row r="55" spans="1:41" ht="19" thickBot="1" x14ac:dyDescent="0.25">
      <c r="A55" s="160"/>
      <c r="B55" s="148" t="s">
        <v>15</v>
      </c>
      <c r="C55" s="149"/>
      <c r="D55" s="149"/>
      <c r="E55" s="149"/>
      <c r="F55" s="149"/>
      <c r="G55" s="149"/>
      <c r="H55" s="149"/>
      <c r="I55" s="149"/>
      <c r="J55" s="149"/>
      <c r="K55" s="150"/>
      <c r="L55" s="148" t="s">
        <v>27</v>
      </c>
      <c r="M55" s="149"/>
      <c r="N55" s="149"/>
      <c r="O55" s="149"/>
      <c r="P55" s="149"/>
      <c r="Q55" s="149"/>
      <c r="R55" s="149"/>
      <c r="S55" s="149"/>
      <c r="T55" s="149"/>
      <c r="U55" s="150"/>
      <c r="V55" s="148" t="s">
        <v>28</v>
      </c>
      <c r="W55" s="149"/>
      <c r="X55" s="149"/>
      <c r="Y55" s="149"/>
      <c r="Z55" s="149"/>
      <c r="AA55" s="149"/>
      <c r="AB55" s="149"/>
      <c r="AC55" s="149"/>
      <c r="AD55" s="149"/>
      <c r="AE55" s="150"/>
      <c r="AF55" s="148" t="s">
        <v>22</v>
      </c>
      <c r="AG55" s="149"/>
      <c r="AH55" s="149"/>
      <c r="AI55" s="149"/>
      <c r="AJ55" s="149"/>
      <c r="AK55" s="149"/>
      <c r="AL55" s="149"/>
      <c r="AM55" s="149"/>
      <c r="AN55" s="149"/>
      <c r="AO55" s="150"/>
    </row>
    <row r="56" spans="1:41" ht="19" x14ac:dyDescent="0.2">
      <c r="A56" s="8"/>
      <c r="B56" s="114">
        <v>217</v>
      </c>
      <c r="C56" s="115"/>
      <c r="D56" s="116">
        <v>218</v>
      </c>
      <c r="E56" s="117"/>
      <c r="F56" s="118">
        <v>219</v>
      </c>
      <c r="G56" s="117"/>
      <c r="H56" s="118">
        <v>220</v>
      </c>
      <c r="I56" s="117"/>
      <c r="J56" s="119">
        <v>221</v>
      </c>
      <c r="K56" s="120"/>
      <c r="L56" s="121">
        <v>212</v>
      </c>
      <c r="M56" s="122"/>
      <c r="N56" s="131">
        <v>213</v>
      </c>
      <c r="O56" s="130"/>
      <c r="P56" s="129">
        <v>214</v>
      </c>
      <c r="Q56" s="130"/>
      <c r="R56" s="129">
        <v>215</v>
      </c>
      <c r="S56" s="130"/>
      <c r="T56" s="123">
        <v>216</v>
      </c>
      <c r="U56" s="124"/>
      <c r="V56" s="125">
        <v>192</v>
      </c>
      <c r="W56" s="126"/>
      <c r="X56" s="127">
        <v>193</v>
      </c>
      <c r="Y56" s="128"/>
      <c r="Z56" s="151">
        <v>194</v>
      </c>
      <c r="AA56" s="128"/>
      <c r="AB56" s="151">
        <v>195</v>
      </c>
      <c r="AC56" s="128"/>
      <c r="AD56" s="112">
        <v>196</v>
      </c>
      <c r="AE56" s="113"/>
      <c r="AF56" s="145">
        <v>187</v>
      </c>
      <c r="AG56" s="146"/>
      <c r="AH56" s="147">
        <v>188</v>
      </c>
      <c r="AI56" s="133"/>
      <c r="AJ56" s="132">
        <v>189</v>
      </c>
      <c r="AK56" s="133"/>
      <c r="AL56" s="132">
        <v>190</v>
      </c>
      <c r="AM56" s="133"/>
      <c r="AN56" s="134">
        <v>191</v>
      </c>
      <c r="AO56" s="135"/>
    </row>
    <row r="57" spans="1:41" ht="20" thickBot="1" x14ac:dyDescent="0.25">
      <c r="A57" s="8"/>
      <c r="B57" s="16" t="s">
        <v>2</v>
      </c>
      <c r="C57" s="9" t="s">
        <v>3</v>
      </c>
      <c r="D57" s="9" t="s">
        <v>2</v>
      </c>
      <c r="E57" s="9" t="s">
        <v>3</v>
      </c>
      <c r="F57" s="9" t="s">
        <v>2</v>
      </c>
      <c r="G57" s="9" t="s">
        <v>3</v>
      </c>
      <c r="H57" s="9" t="s">
        <v>2</v>
      </c>
      <c r="I57" s="32" t="s">
        <v>3</v>
      </c>
      <c r="J57" s="33" t="s">
        <v>2</v>
      </c>
      <c r="K57" s="34" t="s">
        <v>3</v>
      </c>
      <c r="L57" s="35" t="s">
        <v>2</v>
      </c>
      <c r="M57" s="36" t="s">
        <v>3</v>
      </c>
      <c r="N57" s="36" t="s">
        <v>2</v>
      </c>
      <c r="O57" s="36" t="s">
        <v>3</v>
      </c>
      <c r="P57" s="36" t="s">
        <v>2</v>
      </c>
      <c r="Q57" s="36" t="s">
        <v>3</v>
      </c>
      <c r="R57" s="36" t="s">
        <v>2</v>
      </c>
      <c r="S57" s="37" t="s">
        <v>3</v>
      </c>
      <c r="T57" s="17" t="s">
        <v>2</v>
      </c>
      <c r="U57" s="18" t="s">
        <v>3</v>
      </c>
      <c r="V57" s="38" t="s">
        <v>2</v>
      </c>
      <c r="W57" s="39" t="s">
        <v>3</v>
      </c>
      <c r="X57" s="39" t="s">
        <v>2</v>
      </c>
      <c r="Y57" s="39" t="s">
        <v>3</v>
      </c>
      <c r="Z57" s="39" t="s">
        <v>2</v>
      </c>
      <c r="AA57" s="39" t="s">
        <v>3</v>
      </c>
      <c r="AB57" s="39" t="s">
        <v>2</v>
      </c>
      <c r="AC57" s="40" t="s">
        <v>3</v>
      </c>
      <c r="AD57" s="19" t="s">
        <v>2</v>
      </c>
      <c r="AE57" s="20" t="s">
        <v>3</v>
      </c>
      <c r="AF57" s="41" t="s">
        <v>2</v>
      </c>
      <c r="AG57" s="42" t="s">
        <v>3</v>
      </c>
      <c r="AH57" s="42" t="s">
        <v>2</v>
      </c>
      <c r="AI57" s="42" t="s">
        <v>3</v>
      </c>
      <c r="AJ57" s="42" t="s">
        <v>2</v>
      </c>
      <c r="AK57" s="42" t="s">
        <v>3</v>
      </c>
      <c r="AL57" s="42" t="s">
        <v>2</v>
      </c>
      <c r="AM57" s="43" t="s">
        <v>3</v>
      </c>
      <c r="AN57" s="21" t="s">
        <v>2</v>
      </c>
      <c r="AO57" s="44" t="s">
        <v>3</v>
      </c>
    </row>
    <row r="58" spans="1:41" ht="19" x14ac:dyDescent="0.2">
      <c r="A58" s="3" t="s">
        <v>16</v>
      </c>
      <c r="B58" s="45">
        <f t="shared" ref="B58:K58" si="0">B19-0.7</f>
        <v>4.7</v>
      </c>
      <c r="C58" s="46">
        <f t="shared" si="0"/>
        <v>4.3</v>
      </c>
      <c r="D58" s="46">
        <f t="shared" si="0"/>
        <v>4.2</v>
      </c>
      <c r="E58" s="46">
        <f t="shared" si="0"/>
        <v>4.8999999999999995</v>
      </c>
      <c r="F58" s="46">
        <f t="shared" si="0"/>
        <v>3.95</v>
      </c>
      <c r="G58" s="46">
        <f t="shared" si="0"/>
        <v>4.7</v>
      </c>
      <c r="H58" s="46">
        <f t="shared" si="0"/>
        <v>3.5999999999999996</v>
      </c>
      <c r="I58" s="46">
        <f t="shared" si="0"/>
        <v>4.5999999999999996</v>
      </c>
      <c r="J58" s="47">
        <f t="shared" si="0"/>
        <v>5.0999999999999996</v>
      </c>
      <c r="K58" s="48">
        <f t="shared" si="0"/>
        <v>4.5999999999999996</v>
      </c>
      <c r="L58" s="45">
        <f t="shared" ref="L58:AO58" si="1">L19-0.7</f>
        <v>5.2</v>
      </c>
      <c r="M58" s="46">
        <f t="shared" si="1"/>
        <v>4.45</v>
      </c>
      <c r="N58" s="46">
        <f t="shared" si="1"/>
        <v>3.7</v>
      </c>
      <c r="O58" s="46">
        <f t="shared" si="1"/>
        <v>6</v>
      </c>
      <c r="P58" s="46">
        <f t="shared" si="1"/>
        <v>3.5</v>
      </c>
      <c r="Q58" s="46">
        <f t="shared" si="1"/>
        <v>4.7</v>
      </c>
      <c r="R58" s="46">
        <f t="shared" si="1"/>
        <v>4.3</v>
      </c>
      <c r="S58" s="46">
        <f t="shared" si="1"/>
        <v>5.3</v>
      </c>
      <c r="T58" s="47">
        <f t="shared" si="1"/>
        <v>3.5999999999999996</v>
      </c>
      <c r="U58" s="48">
        <f t="shared" si="1"/>
        <v>5.6</v>
      </c>
      <c r="V58" s="45">
        <f t="shared" si="1"/>
        <v>5</v>
      </c>
      <c r="W58" s="46">
        <f t="shared" si="1"/>
        <v>5.5</v>
      </c>
      <c r="X58" s="46">
        <f t="shared" si="1"/>
        <v>4.8</v>
      </c>
      <c r="Y58" s="46">
        <f t="shared" si="1"/>
        <v>3.05</v>
      </c>
      <c r="Z58" s="46">
        <f t="shared" si="1"/>
        <v>5.3</v>
      </c>
      <c r="AA58" s="46">
        <f t="shared" si="1"/>
        <v>5.8</v>
      </c>
      <c r="AB58" s="46">
        <f t="shared" si="1"/>
        <v>4.8</v>
      </c>
      <c r="AC58" s="46">
        <f t="shared" si="1"/>
        <v>5.3</v>
      </c>
      <c r="AD58" s="47">
        <f t="shared" si="1"/>
        <v>3.0999999999999996</v>
      </c>
      <c r="AE58" s="48">
        <f t="shared" si="1"/>
        <v>2.5999999999999996</v>
      </c>
      <c r="AF58" s="45">
        <f t="shared" si="1"/>
        <v>7</v>
      </c>
      <c r="AG58" s="46">
        <f t="shared" si="1"/>
        <v>6.8999999999999995</v>
      </c>
      <c r="AH58" s="46">
        <f t="shared" si="1"/>
        <v>3.5999999999999996</v>
      </c>
      <c r="AI58" s="46">
        <f t="shared" si="1"/>
        <v>3.3</v>
      </c>
      <c r="AJ58" s="46">
        <f t="shared" si="1"/>
        <v>5.0999999999999996</v>
      </c>
      <c r="AK58" s="46">
        <f t="shared" si="1"/>
        <v>6.7</v>
      </c>
      <c r="AL58" s="46">
        <f t="shared" si="1"/>
        <v>5.8</v>
      </c>
      <c r="AM58" s="46">
        <f t="shared" si="1"/>
        <v>5.6</v>
      </c>
      <c r="AN58" s="47">
        <f t="shared" si="1"/>
        <v>6.5</v>
      </c>
      <c r="AO58" s="48">
        <f t="shared" si="1"/>
        <v>5.8999999999999995</v>
      </c>
    </row>
    <row r="59" spans="1:41" ht="19" x14ac:dyDescent="0.2">
      <c r="A59" s="1" t="s">
        <v>17</v>
      </c>
      <c r="B59" s="45">
        <f t="shared" ref="B59:K59" si="2">B20-0.7</f>
        <v>4.2</v>
      </c>
      <c r="C59" s="46">
        <f t="shared" si="2"/>
        <v>3.7</v>
      </c>
      <c r="D59" s="46">
        <f t="shared" si="2"/>
        <v>2.2999999999999998</v>
      </c>
      <c r="E59" s="46">
        <f t="shared" si="2"/>
        <v>3.7</v>
      </c>
      <c r="F59" s="46">
        <f t="shared" si="2"/>
        <v>2.9000000000000004</v>
      </c>
      <c r="G59" s="46">
        <f t="shared" si="2"/>
        <v>3.3999999999999995</v>
      </c>
      <c r="H59" s="46">
        <f t="shared" si="2"/>
        <v>2.9000000000000004</v>
      </c>
      <c r="I59" s="46">
        <f t="shared" si="2"/>
        <v>3.3</v>
      </c>
      <c r="J59" s="47">
        <f t="shared" si="2"/>
        <v>4.2</v>
      </c>
      <c r="K59" s="48">
        <f t="shared" si="2"/>
        <v>3.5</v>
      </c>
      <c r="L59" s="45">
        <f t="shared" ref="L59:AO59" si="3">L20-0.7</f>
        <v>3.8</v>
      </c>
      <c r="M59" s="46">
        <f t="shared" si="3"/>
        <v>3.2</v>
      </c>
      <c r="N59" s="46">
        <f t="shared" si="3"/>
        <v>2.9000000000000004</v>
      </c>
      <c r="O59" s="46">
        <f t="shared" si="3"/>
        <v>4.2</v>
      </c>
      <c r="P59" s="46">
        <f t="shared" si="3"/>
        <v>3.0999999999999996</v>
      </c>
      <c r="Q59" s="46">
        <f t="shared" si="3"/>
        <v>3.5</v>
      </c>
      <c r="R59" s="46">
        <f t="shared" si="3"/>
        <v>3.8999999999999995</v>
      </c>
      <c r="S59" s="46">
        <f t="shared" si="3"/>
        <v>4.3</v>
      </c>
      <c r="T59" s="47">
        <f t="shared" si="3"/>
        <v>2.5</v>
      </c>
      <c r="U59" s="48">
        <f t="shared" si="3"/>
        <v>4.7</v>
      </c>
      <c r="V59" s="45">
        <f t="shared" si="3"/>
        <v>3.8999999999999995</v>
      </c>
      <c r="W59" s="46">
        <f t="shared" si="3"/>
        <v>4</v>
      </c>
      <c r="X59" s="46">
        <f t="shared" si="3"/>
        <v>3.8999999999999995</v>
      </c>
      <c r="Y59" s="46">
        <f t="shared" si="3"/>
        <v>1.9000000000000001</v>
      </c>
      <c r="Z59" s="46">
        <f t="shared" si="3"/>
        <v>4</v>
      </c>
      <c r="AA59" s="46">
        <f t="shared" si="3"/>
        <v>4.3999999999999995</v>
      </c>
      <c r="AB59" s="46">
        <f t="shared" si="3"/>
        <v>3.5</v>
      </c>
      <c r="AC59" s="46">
        <f t="shared" si="3"/>
        <v>3.8999999999999995</v>
      </c>
      <c r="AD59" s="47">
        <f t="shared" si="3"/>
        <v>2.2000000000000002</v>
      </c>
      <c r="AE59" s="48">
        <f t="shared" si="3"/>
        <v>1.8</v>
      </c>
      <c r="AF59" s="45">
        <f t="shared" si="3"/>
        <v>5.3999999999999995</v>
      </c>
      <c r="AG59" s="46">
        <f t="shared" si="3"/>
        <v>3.3</v>
      </c>
      <c r="AH59" s="46">
        <f t="shared" si="3"/>
        <v>2.8</v>
      </c>
      <c r="AI59" s="46">
        <f t="shared" si="3"/>
        <v>2.2000000000000002</v>
      </c>
      <c r="AJ59" s="46">
        <f t="shared" si="3"/>
        <v>3.8999999999999995</v>
      </c>
      <c r="AK59" s="46">
        <f t="shared" si="3"/>
        <v>4.8</v>
      </c>
      <c r="AL59" s="46">
        <f t="shared" si="3"/>
        <v>4.7</v>
      </c>
      <c r="AM59" s="46">
        <f t="shared" si="3"/>
        <v>3.8</v>
      </c>
      <c r="AN59" s="47">
        <f t="shared" si="3"/>
        <v>4.3999999999999995</v>
      </c>
      <c r="AO59" s="48">
        <f t="shared" si="3"/>
        <v>4.7</v>
      </c>
    </row>
    <row r="60" spans="1:41" ht="19" x14ac:dyDescent="0.2">
      <c r="A60" s="1" t="s">
        <v>18</v>
      </c>
      <c r="B60" s="45">
        <f t="shared" ref="B60:K60" si="4">B21-0.7</f>
        <v>3.3</v>
      </c>
      <c r="C60" s="46">
        <f t="shared" si="4"/>
        <v>2.5999999999999996</v>
      </c>
      <c r="D60" s="46">
        <f t="shared" si="4"/>
        <v>1.9000000000000001</v>
      </c>
      <c r="E60" s="46">
        <f t="shared" si="4"/>
        <v>3.2</v>
      </c>
      <c r="F60" s="46">
        <f t="shared" si="4"/>
        <v>2.5999999999999996</v>
      </c>
      <c r="G60" s="46">
        <f t="shared" si="4"/>
        <v>3.0999999999999996</v>
      </c>
      <c r="H60" s="46">
        <f t="shared" si="4"/>
        <v>2.5</v>
      </c>
      <c r="I60" s="46">
        <f t="shared" si="4"/>
        <v>2.7</v>
      </c>
      <c r="J60" s="47">
        <f t="shared" si="4"/>
        <v>3.3</v>
      </c>
      <c r="K60" s="48">
        <f t="shared" si="4"/>
        <v>3.0999999999999996</v>
      </c>
      <c r="L60" s="45">
        <f t="shared" ref="L60:AO60" si="5">L21-0.7</f>
        <v>3.0999999999999996</v>
      </c>
      <c r="M60" s="46">
        <f t="shared" si="5"/>
        <v>2.8</v>
      </c>
      <c r="N60" s="46">
        <f t="shared" si="5"/>
        <v>2.5999999999999996</v>
      </c>
      <c r="O60" s="46">
        <f t="shared" si="5"/>
        <v>3.8</v>
      </c>
      <c r="P60" s="46">
        <f t="shared" si="5"/>
        <v>2.5999999999999996</v>
      </c>
      <c r="Q60" s="46">
        <f t="shared" si="5"/>
        <v>3.5</v>
      </c>
      <c r="R60" s="46">
        <f t="shared" si="5"/>
        <v>3.3999999999999995</v>
      </c>
      <c r="S60" s="46">
        <f t="shared" si="5"/>
        <v>3.8</v>
      </c>
      <c r="T60" s="47">
        <f t="shared" si="5"/>
        <v>2.2000000000000002</v>
      </c>
      <c r="U60" s="48">
        <f t="shared" si="5"/>
        <v>3.7</v>
      </c>
      <c r="V60" s="45">
        <f t="shared" si="5"/>
        <v>3.8999999999999995</v>
      </c>
      <c r="W60" s="46">
        <f t="shared" si="5"/>
        <v>3.5999999999999996</v>
      </c>
      <c r="X60" s="46">
        <f t="shared" si="5"/>
        <v>3.7</v>
      </c>
      <c r="Y60" s="46">
        <f t="shared" si="5"/>
        <v>2.2000000000000002</v>
      </c>
      <c r="Z60" s="46">
        <f t="shared" si="5"/>
        <v>3.5999999999999996</v>
      </c>
      <c r="AA60" s="46">
        <f t="shared" si="5"/>
        <v>4.2</v>
      </c>
      <c r="AB60" s="46">
        <f t="shared" si="5"/>
        <v>3.8999999999999995</v>
      </c>
      <c r="AC60" s="46">
        <f t="shared" si="5"/>
        <v>4.0999999999999996</v>
      </c>
      <c r="AD60" s="47">
        <f t="shared" si="5"/>
        <v>2.5</v>
      </c>
      <c r="AE60" s="48">
        <f t="shared" si="5"/>
        <v>2.0999999999999996</v>
      </c>
      <c r="AF60" s="45">
        <f t="shared" si="5"/>
        <v>5.5</v>
      </c>
      <c r="AG60" s="46">
        <f t="shared" si="5"/>
        <v>3.5</v>
      </c>
      <c r="AH60" s="46">
        <f t="shared" si="5"/>
        <v>3.5</v>
      </c>
      <c r="AI60" s="46">
        <f t="shared" si="5"/>
        <v>2.7</v>
      </c>
      <c r="AJ60" s="46">
        <f t="shared" si="5"/>
        <v>4.5</v>
      </c>
      <c r="AK60" s="46">
        <f t="shared" si="5"/>
        <v>4.8</v>
      </c>
      <c r="AL60" s="46">
        <f t="shared" si="5"/>
        <v>4.5</v>
      </c>
      <c r="AM60" s="46">
        <f t="shared" si="5"/>
        <v>4.0999999999999996</v>
      </c>
      <c r="AN60" s="47">
        <f t="shared" si="5"/>
        <v>5.3</v>
      </c>
      <c r="AO60" s="48">
        <f t="shared" si="5"/>
        <v>4.8</v>
      </c>
    </row>
    <row r="61" spans="1:41" ht="19" x14ac:dyDescent="0.2">
      <c r="A61" s="1" t="s">
        <v>21</v>
      </c>
      <c r="B61" s="45">
        <f t="shared" ref="B61:K61" si="6">B22-0.7</f>
        <v>2.4000000000000004</v>
      </c>
      <c r="C61" s="46">
        <f t="shared" si="6"/>
        <v>3</v>
      </c>
      <c r="D61" s="46">
        <f t="shared" si="6"/>
        <v>2</v>
      </c>
      <c r="E61" s="46">
        <f t="shared" si="6"/>
        <v>3</v>
      </c>
      <c r="F61" s="46">
        <f t="shared" si="6"/>
        <v>2.5</v>
      </c>
      <c r="G61" s="46">
        <f t="shared" si="6"/>
        <v>2.4000000000000004</v>
      </c>
      <c r="H61" s="46">
        <f t="shared" si="6"/>
        <v>2.2000000000000002</v>
      </c>
      <c r="I61" s="46">
        <f t="shared" si="6"/>
        <v>2.5999999999999996</v>
      </c>
      <c r="J61" s="47">
        <f t="shared" si="6"/>
        <v>2.9000000000000004</v>
      </c>
      <c r="K61" s="48">
        <f t="shared" si="6"/>
        <v>2.8</v>
      </c>
      <c r="L61" s="45">
        <f t="shared" ref="L61:AO61" si="7">L22-0.7</f>
        <v>3.0999999999999996</v>
      </c>
      <c r="M61" s="46">
        <f t="shared" si="7"/>
        <v>2.8</v>
      </c>
      <c r="N61" s="46">
        <f t="shared" si="7"/>
        <v>2.5</v>
      </c>
      <c r="O61" s="46">
        <f t="shared" si="7"/>
        <v>3.5999999999999996</v>
      </c>
      <c r="P61" s="46">
        <f t="shared" si="7"/>
        <v>2.5</v>
      </c>
      <c r="Q61" s="46">
        <f t="shared" si="7"/>
        <v>2.9000000000000004</v>
      </c>
      <c r="R61" s="46">
        <f t="shared" si="7"/>
        <v>3.0999999999999996</v>
      </c>
      <c r="S61" s="46">
        <f t="shared" si="7"/>
        <v>3.5999999999999996</v>
      </c>
      <c r="T61" s="47">
        <f t="shared" si="7"/>
        <v>2.2000000000000002</v>
      </c>
      <c r="U61" s="48">
        <f t="shared" si="7"/>
        <v>3.7</v>
      </c>
      <c r="V61" s="45">
        <f t="shared" si="7"/>
        <v>3.3999999999999995</v>
      </c>
      <c r="W61" s="46">
        <f t="shared" si="7"/>
        <v>3.0999999999999996</v>
      </c>
      <c r="X61" s="46">
        <f t="shared" si="7"/>
        <v>3.0999999999999996</v>
      </c>
      <c r="Y61" s="46">
        <f t="shared" si="7"/>
        <v>2</v>
      </c>
      <c r="Z61" s="46">
        <f t="shared" si="7"/>
        <v>3.3</v>
      </c>
      <c r="AA61" s="46">
        <f t="shared" si="7"/>
        <v>4</v>
      </c>
      <c r="AB61" s="46">
        <f t="shared" si="7"/>
        <v>3.5999999999999996</v>
      </c>
      <c r="AC61" s="46">
        <f t="shared" si="7"/>
        <v>3.7</v>
      </c>
      <c r="AD61" s="47">
        <f t="shared" si="7"/>
        <v>2.2000000000000002</v>
      </c>
      <c r="AE61" s="48">
        <f t="shared" si="7"/>
        <v>1.5999999999999999</v>
      </c>
      <c r="AF61" s="45">
        <f t="shared" si="7"/>
        <v>4.8999999999999995</v>
      </c>
      <c r="AG61" s="46">
        <f t="shared" si="7"/>
        <v>2.5999999999999996</v>
      </c>
      <c r="AH61" s="46">
        <f t="shared" si="7"/>
        <v>3</v>
      </c>
      <c r="AI61" s="46">
        <f t="shared" si="7"/>
        <v>2.4000000000000004</v>
      </c>
      <c r="AJ61" s="46">
        <f t="shared" si="7"/>
        <v>3.8999999999999995</v>
      </c>
      <c r="AK61" s="46">
        <f t="shared" si="7"/>
        <v>4.5</v>
      </c>
      <c r="AL61" s="46">
        <f t="shared" si="7"/>
        <v>3.8999999999999995</v>
      </c>
      <c r="AM61" s="46">
        <f t="shared" si="7"/>
        <v>3.8</v>
      </c>
      <c r="AN61" s="47">
        <f t="shared" si="7"/>
        <v>4.5</v>
      </c>
      <c r="AO61" s="48">
        <f t="shared" si="7"/>
        <v>4.0999999999999996</v>
      </c>
    </row>
    <row r="62" spans="1:41" ht="19" x14ac:dyDescent="0.2">
      <c r="A62" s="1" t="s">
        <v>23</v>
      </c>
      <c r="B62" s="45">
        <f t="shared" ref="B62:K62" si="8">B23-0.7</f>
        <v>2.2000000000000002</v>
      </c>
      <c r="C62" s="46">
        <f t="shared" si="8"/>
        <v>2.2999999999999998</v>
      </c>
      <c r="D62" s="46">
        <f t="shared" si="8"/>
        <v>1.9000000000000001</v>
      </c>
      <c r="E62" s="46">
        <f t="shared" si="8"/>
        <v>2.8</v>
      </c>
      <c r="F62" s="46">
        <f t="shared" si="8"/>
        <v>2.2000000000000002</v>
      </c>
      <c r="G62" s="46">
        <f t="shared" si="8"/>
        <v>2.8</v>
      </c>
      <c r="H62" s="46">
        <f t="shared" si="8"/>
        <v>2.2000000000000002</v>
      </c>
      <c r="I62" s="46">
        <f t="shared" si="8"/>
        <v>2.5999999999999996</v>
      </c>
      <c r="J62" s="47">
        <f t="shared" si="8"/>
        <v>2.7</v>
      </c>
      <c r="K62" s="48">
        <f t="shared" si="8"/>
        <v>2.7</v>
      </c>
      <c r="L62" s="45">
        <f t="shared" ref="L62:AO62" si="9">L23-0.7</f>
        <v>2.7</v>
      </c>
      <c r="M62" s="46">
        <f t="shared" si="9"/>
        <v>2.5999999999999996</v>
      </c>
      <c r="N62" s="46">
        <f t="shared" si="9"/>
        <v>2.2999999999999998</v>
      </c>
      <c r="O62" s="46">
        <f t="shared" si="9"/>
        <v>3.5999999999999996</v>
      </c>
      <c r="P62" s="46">
        <f t="shared" si="9"/>
        <v>2.4000000000000004</v>
      </c>
      <c r="Q62" s="46">
        <f t="shared" si="9"/>
        <v>2.7</v>
      </c>
      <c r="R62" s="46">
        <f t="shared" si="9"/>
        <v>2.9000000000000004</v>
      </c>
      <c r="S62" s="46">
        <f t="shared" si="9"/>
        <v>3.0999999999999996</v>
      </c>
      <c r="T62" s="47">
        <f t="shared" si="9"/>
        <v>2</v>
      </c>
      <c r="U62" s="48">
        <f t="shared" si="9"/>
        <v>3.0999999999999996</v>
      </c>
      <c r="V62" s="45">
        <f t="shared" si="9"/>
        <v>3.5</v>
      </c>
      <c r="W62" s="46">
        <f t="shared" si="9"/>
        <v>3.3</v>
      </c>
      <c r="X62" s="46">
        <f t="shared" si="9"/>
        <v>3.3999999999999995</v>
      </c>
      <c r="Y62" s="46">
        <f t="shared" si="9"/>
        <v>2.2999999999999998</v>
      </c>
      <c r="Z62" s="46">
        <f t="shared" si="9"/>
        <v>3.8</v>
      </c>
      <c r="AA62" s="46">
        <f t="shared" si="9"/>
        <v>4.3999999999999995</v>
      </c>
      <c r="AB62" s="46">
        <f t="shared" si="9"/>
        <v>3.8999999999999995</v>
      </c>
      <c r="AC62" s="46">
        <f t="shared" si="9"/>
        <v>3.8</v>
      </c>
      <c r="AD62" s="47">
        <f t="shared" si="9"/>
        <v>2.4000000000000004</v>
      </c>
      <c r="AE62" s="48">
        <f t="shared" si="9"/>
        <v>1.9000000000000001</v>
      </c>
      <c r="AF62" s="45">
        <f t="shared" si="9"/>
        <v>5.3</v>
      </c>
      <c r="AG62" s="46">
        <f t="shared" si="9"/>
        <v>2.9000000000000004</v>
      </c>
      <c r="AH62" s="46">
        <f t="shared" si="9"/>
        <v>3.5</v>
      </c>
      <c r="AI62" s="46">
        <f t="shared" si="9"/>
        <v>2.5</v>
      </c>
      <c r="AJ62" s="46">
        <f t="shared" si="9"/>
        <v>4.3999999999999995</v>
      </c>
      <c r="AK62" s="46">
        <f t="shared" si="9"/>
        <v>4.3999999999999995</v>
      </c>
      <c r="AL62" s="46">
        <f t="shared" si="9"/>
        <v>4.3</v>
      </c>
      <c r="AM62" s="46">
        <f t="shared" si="9"/>
        <v>4.2</v>
      </c>
      <c r="AN62" s="47">
        <f t="shared" si="9"/>
        <v>4.8</v>
      </c>
      <c r="AO62" s="48">
        <f t="shared" si="9"/>
        <v>4.5999999999999996</v>
      </c>
    </row>
    <row r="63" spans="1:41" ht="19" x14ac:dyDescent="0.2">
      <c r="A63" s="1" t="s">
        <v>24</v>
      </c>
      <c r="B63" s="45">
        <f t="shared" ref="B63:K63" si="10">B24-0.7</f>
        <v>2.2999999999999998</v>
      </c>
      <c r="C63" s="46">
        <f t="shared" si="10"/>
        <v>2.2999999999999998</v>
      </c>
      <c r="D63" s="46">
        <f t="shared" si="10"/>
        <v>1.5999999999999999</v>
      </c>
      <c r="E63" s="46">
        <f t="shared" si="10"/>
        <v>2.8</v>
      </c>
      <c r="F63" s="46">
        <f t="shared" si="10"/>
        <v>2.4000000000000004</v>
      </c>
      <c r="G63" s="46">
        <f t="shared" si="10"/>
        <v>3</v>
      </c>
      <c r="H63" s="46">
        <f t="shared" si="10"/>
        <v>2</v>
      </c>
      <c r="I63" s="46">
        <f t="shared" si="10"/>
        <v>2.7</v>
      </c>
      <c r="J63" s="47">
        <f t="shared" si="10"/>
        <v>2.5999999999999996</v>
      </c>
      <c r="K63" s="48">
        <f t="shared" si="10"/>
        <v>2.5999999999999996</v>
      </c>
      <c r="L63" s="45">
        <f t="shared" ref="L63:AO63" si="11">L24-0.7</f>
        <v>3</v>
      </c>
      <c r="M63" s="46">
        <f t="shared" si="11"/>
        <v>2.5</v>
      </c>
      <c r="N63" s="46">
        <f t="shared" si="11"/>
        <v>2.2000000000000002</v>
      </c>
      <c r="O63" s="46">
        <f t="shared" si="11"/>
        <v>3.2</v>
      </c>
      <c r="P63" s="46">
        <f t="shared" si="11"/>
        <v>2.2999999999999998</v>
      </c>
      <c r="Q63" s="46">
        <f t="shared" si="11"/>
        <v>3.0999999999999996</v>
      </c>
      <c r="R63" s="46">
        <f t="shared" si="11"/>
        <v>2.8</v>
      </c>
      <c r="S63" s="46">
        <f t="shared" si="11"/>
        <v>3</v>
      </c>
      <c r="T63" s="47">
        <f t="shared" si="11"/>
        <v>1.7</v>
      </c>
      <c r="U63" s="48">
        <f t="shared" si="11"/>
        <v>3.0999999999999996</v>
      </c>
      <c r="V63" s="45">
        <f t="shared" si="11"/>
        <v>2.9000000000000004</v>
      </c>
      <c r="W63" s="46">
        <f t="shared" si="11"/>
        <v>2.8</v>
      </c>
      <c r="X63" s="46">
        <f t="shared" si="11"/>
        <v>2.9000000000000004</v>
      </c>
      <c r="Y63" s="46">
        <f t="shared" si="11"/>
        <v>2</v>
      </c>
      <c r="Z63" s="46">
        <f t="shared" si="11"/>
        <v>3.3</v>
      </c>
      <c r="AA63" s="46">
        <f t="shared" si="11"/>
        <v>3.8</v>
      </c>
      <c r="AB63" s="46">
        <f t="shared" si="11"/>
        <v>3.3999999999999995</v>
      </c>
      <c r="AC63" s="46">
        <f t="shared" si="11"/>
        <v>3.3999999999999995</v>
      </c>
      <c r="AD63" s="47">
        <f t="shared" si="11"/>
        <v>2.2999999999999998</v>
      </c>
      <c r="AE63" s="48">
        <f t="shared" si="11"/>
        <v>1.7</v>
      </c>
      <c r="AF63" s="45">
        <f t="shared" si="11"/>
        <v>4.8999999999999995</v>
      </c>
      <c r="AG63" s="46">
        <f t="shared" si="11"/>
        <v>2.5999999999999996</v>
      </c>
      <c r="AH63" s="46">
        <f t="shared" si="11"/>
        <v>3</v>
      </c>
      <c r="AI63" s="46">
        <f t="shared" si="11"/>
        <v>2.2999999999999998</v>
      </c>
      <c r="AJ63" s="46">
        <f t="shared" si="11"/>
        <v>3.8</v>
      </c>
      <c r="AK63" s="46">
        <f t="shared" si="11"/>
        <v>3.8999999999999995</v>
      </c>
      <c r="AL63" s="46">
        <f t="shared" si="11"/>
        <v>3.8999999999999995</v>
      </c>
      <c r="AM63" s="46">
        <f t="shared" si="11"/>
        <v>4</v>
      </c>
      <c r="AN63" s="47">
        <f t="shared" si="11"/>
        <v>4</v>
      </c>
      <c r="AO63" s="48">
        <f t="shared" si="11"/>
        <v>4</v>
      </c>
    </row>
    <row r="64" spans="1:41" ht="19" x14ac:dyDescent="0.2">
      <c r="A64" s="1" t="s">
        <v>25</v>
      </c>
      <c r="B64" s="45">
        <f t="shared" ref="B64:K64" si="12">B25-0.7</f>
        <v>2</v>
      </c>
      <c r="C64" s="46">
        <f t="shared" si="12"/>
        <v>2.0999999999999996</v>
      </c>
      <c r="D64" s="46">
        <f t="shared" si="12"/>
        <v>1.3</v>
      </c>
      <c r="E64" s="46">
        <f t="shared" si="12"/>
        <v>2.8</v>
      </c>
      <c r="F64" s="46">
        <f t="shared" si="12"/>
        <v>2.2000000000000002</v>
      </c>
      <c r="G64" s="46">
        <f t="shared" si="12"/>
        <v>2.7</v>
      </c>
      <c r="H64" s="46">
        <f t="shared" si="12"/>
        <v>1.9000000000000001</v>
      </c>
      <c r="I64" s="46">
        <f t="shared" si="12"/>
        <v>2.4000000000000004</v>
      </c>
      <c r="J64" s="47">
        <f t="shared" si="12"/>
        <v>2.4000000000000004</v>
      </c>
      <c r="K64" s="48">
        <f t="shared" si="12"/>
        <v>2.2999999999999998</v>
      </c>
      <c r="L64" s="45">
        <f t="shared" ref="L64:AO64" si="13">L25-0.7</f>
        <v>2.2999999999999998</v>
      </c>
      <c r="M64" s="46">
        <f t="shared" si="13"/>
        <v>2.5</v>
      </c>
      <c r="N64" s="46">
        <f t="shared" si="13"/>
        <v>1.9000000000000001</v>
      </c>
      <c r="O64" s="46">
        <f t="shared" si="13"/>
        <v>2.8</v>
      </c>
      <c r="P64" s="46">
        <f t="shared" si="13"/>
        <v>1.7</v>
      </c>
      <c r="Q64" s="46">
        <f t="shared" si="13"/>
        <v>2.5999999999999996</v>
      </c>
      <c r="R64" s="46">
        <f t="shared" si="13"/>
        <v>2.4000000000000004</v>
      </c>
      <c r="S64" s="46">
        <f t="shared" si="13"/>
        <v>3</v>
      </c>
      <c r="T64" s="47">
        <f t="shared" si="13"/>
        <v>1.5000000000000002</v>
      </c>
      <c r="U64" s="48">
        <f t="shared" si="13"/>
        <v>2.9000000000000004</v>
      </c>
      <c r="V64" s="45">
        <f t="shared" si="13"/>
        <v>3.0999999999999996</v>
      </c>
      <c r="W64" s="46">
        <f t="shared" si="13"/>
        <v>3</v>
      </c>
      <c r="X64" s="46">
        <f t="shared" si="13"/>
        <v>3</v>
      </c>
      <c r="Y64" s="46">
        <f t="shared" si="13"/>
        <v>2.0999999999999996</v>
      </c>
      <c r="Z64" s="46">
        <f t="shared" si="13"/>
        <v>3.8</v>
      </c>
      <c r="AA64" s="46">
        <f t="shared" si="13"/>
        <v>4.0999999999999996</v>
      </c>
      <c r="AB64" s="46">
        <f t="shared" si="13"/>
        <v>3.8999999999999995</v>
      </c>
      <c r="AC64" s="46">
        <f t="shared" si="13"/>
        <v>3.5</v>
      </c>
      <c r="AD64" s="47">
        <f t="shared" si="13"/>
        <v>2.2999999999999998</v>
      </c>
      <c r="AE64" s="48">
        <f t="shared" si="13"/>
        <v>1.8</v>
      </c>
      <c r="AF64" s="45">
        <f t="shared" si="13"/>
        <v>5.2</v>
      </c>
      <c r="AG64" s="46">
        <f t="shared" si="13"/>
        <v>2.7</v>
      </c>
      <c r="AH64" s="46">
        <f t="shared" si="13"/>
        <v>3.2</v>
      </c>
      <c r="AI64" s="46">
        <f t="shared" si="13"/>
        <v>2.0999999999999996</v>
      </c>
      <c r="AJ64" s="46">
        <f t="shared" si="13"/>
        <v>4.0999999999999996</v>
      </c>
      <c r="AK64" s="46">
        <f t="shared" si="13"/>
        <v>4.3999999999999995</v>
      </c>
      <c r="AL64" s="46">
        <f t="shared" si="13"/>
        <v>4.3999999999999995</v>
      </c>
      <c r="AM64" s="46">
        <f t="shared" si="13"/>
        <v>4.3</v>
      </c>
      <c r="AN64" s="47">
        <f t="shared" si="13"/>
        <v>4.5</v>
      </c>
      <c r="AO64" s="48">
        <f t="shared" si="13"/>
        <v>4.5</v>
      </c>
    </row>
    <row r="65" spans="1:41" ht="19" x14ac:dyDescent="0.2">
      <c r="A65" s="1" t="s">
        <v>26</v>
      </c>
      <c r="B65" s="45">
        <f t="shared" ref="B65:K65" si="14">B26-0.7</f>
        <v>2.2000000000000002</v>
      </c>
      <c r="C65" s="46">
        <f t="shared" si="14"/>
        <v>2</v>
      </c>
      <c r="D65" s="46">
        <f t="shared" si="14"/>
        <v>1.4000000000000001</v>
      </c>
      <c r="E65" s="46">
        <f t="shared" si="14"/>
        <v>2.4000000000000004</v>
      </c>
      <c r="F65" s="46">
        <f t="shared" si="14"/>
        <v>2.2999999999999998</v>
      </c>
      <c r="G65" s="46">
        <f t="shared" si="14"/>
        <v>2.7</v>
      </c>
      <c r="H65" s="46">
        <f t="shared" si="14"/>
        <v>1.8</v>
      </c>
      <c r="I65" s="46">
        <f t="shared" si="14"/>
        <v>2.5999999999999996</v>
      </c>
      <c r="J65" s="47">
        <f t="shared" si="14"/>
        <v>2.4000000000000004</v>
      </c>
      <c r="K65" s="48">
        <f t="shared" si="14"/>
        <v>2.5</v>
      </c>
      <c r="L65" s="45">
        <f t="shared" ref="L65:AO65" si="15">L26-0.7</f>
        <v>2.5</v>
      </c>
      <c r="M65" s="46">
        <f t="shared" si="15"/>
        <v>2.4000000000000004</v>
      </c>
      <c r="N65" s="46">
        <f t="shared" si="15"/>
        <v>2</v>
      </c>
      <c r="O65" s="46">
        <f t="shared" si="15"/>
        <v>3.3</v>
      </c>
      <c r="P65" s="46">
        <f t="shared" si="15"/>
        <v>2</v>
      </c>
      <c r="Q65" s="46">
        <f t="shared" si="15"/>
        <v>2.5999999999999996</v>
      </c>
      <c r="R65" s="46">
        <f t="shared" si="15"/>
        <v>2.4000000000000004</v>
      </c>
      <c r="S65" s="46">
        <f t="shared" si="15"/>
        <v>3</v>
      </c>
      <c r="T65" s="47">
        <f t="shared" si="15"/>
        <v>1.5000000000000002</v>
      </c>
      <c r="U65" s="48">
        <f t="shared" si="15"/>
        <v>2.7</v>
      </c>
      <c r="V65" s="45">
        <f t="shared" si="15"/>
        <v>2.7</v>
      </c>
      <c r="W65" s="46">
        <f t="shared" si="15"/>
        <v>2.4000000000000004</v>
      </c>
      <c r="X65" s="46">
        <f t="shared" si="15"/>
        <v>2.5999999999999996</v>
      </c>
      <c r="Y65" s="46">
        <f t="shared" si="15"/>
        <v>2</v>
      </c>
      <c r="Z65" s="46">
        <f t="shared" si="15"/>
        <v>3.3999999999999995</v>
      </c>
      <c r="AA65" s="46">
        <f t="shared" si="15"/>
        <v>3.8999999999999995</v>
      </c>
      <c r="AB65" s="46">
        <f t="shared" si="15"/>
        <v>3.7</v>
      </c>
      <c r="AC65" s="46">
        <f t="shared" si="15"/>
        <v>3.3999999999999995</v>
      </c>
      <c r="AD65" s="47">
        <f t="shared" si="15"/>
        <v>2.0999999999999996</v>
      </c>
      <c r="AE65" s="48">
        <f t="shared" si="15"/>
        <v>1.4000000000000001</v>
      </c>
      <c r="AF65" s="45">
        <f t="shared" si="15"/>
        <v>4.8999999999999995</v>
      </c>
      <c r="AG65" s="46">
        <f t="shared" si="15"/>
        <v>2.7</v>
      </c>
      <c r="AH65" s="46">
        <f t="shared" si="15"/>
        <v>3</v>
      </c>
      <c r="AI65" s="46">
        <f t="shared" si="15"/>
        <v>2</v>
      </c>
      <c r="AJ65" s="46">
        <f t="shared" si="15"/>
        <v>3.8</v>
      </c>
      <c r="AK65" s="46">
        <f t="shared" si="15"/>
        <v>4.2</v>
      </c>
      <c r="AL65" s="46">
        <f t="shared" si="15"/>
        <v>3.8999999999999995</v>
      </c>
      <c r="AM65" s="46">
        <f t="shared" si="15"/>
        <v>3.8999999999999995</v>
      </c>
      <c r="AN65" s="47">
        <f t="shared" si="15"/>
        <v>3.8999999999999995</v>
      </c>
      <c r="AO65" s="48">
        <f t="shared" si="15"/>
        <v>4.0999999999999996</v>
      </c>
    </row>
    <row r="66" spans="1:41" ht="19" x14ac:dyDescent="0.2">
      <c r="A66" s="1" t="s">
        <v>33</v>
      </c>
      <c r="B66" s="45">
        <f t="shared" ref="B66:K66" si="16">B27-0.7</f>
        <v>2.38</v>
      </c>
      <c r="C66" s="46">
        <f t="shared" si="16"/>
        <v>1.8299999999999998</v>
      </c>
      <c r="D66" s="46">
        <f t="shared" si="16"/>
        <v>1.39</v>
      </c>
      <c r="E66" s="46">
        <f t="shared" si="16"/>
        <v>3.04</v>
      </c>
      <c r="F66" s="46">
        <f t="shared" si="16"/>
        <v>2.1399999999999997</v>
      </c>
      <c r="G66" s="46">
        <f t="shared" si="16"/>
        <v>2.8200000000000003</v>
      </c>
      <c r="H66" s="46">
        <f t="shared" si="16"/>
        <v>1.8299999999999998</v>
      </c>
      <c r="I66" s="46">
        <f t="shared" si="16"/>
        <v>2.4900000000000002</v>
      </c>
      <c r="J66" s="47">
        <f t="shared" si="16"/>
        <v>2.4900000000000002</v>
      </c>
      <c r="K66" s="48">
        <f t="shared" si="16"/>
        <v>2.4900000000000002</v>
      </c>
      <c r="L66" s="45">
        <f t="shared" ref="L66:AO66" si="17">L27-0.7</f>
        <v>3.26</v>
      </c>
      <c r="M66" s="46">
        <f t="shared" si="17"/>
        <v>3.04</v>
      </c>
      <c r="N66" s="46">
        <f t="shared" si="17"/>
        <v>2.38</v>
      </c>
      <c r="O66" s="46">
        <f t="shared" si="17"/>
        <v>3.7</v>
      </c>
      <c r="P66" s="46">
        <f t="shared" si="17"/>
        <v>2.16</v>
      </c>
      <c r="Q66" s="46">
        <f t="shared" si="17"/>
        <v>3.4799999999999995</v>
      </c>
      <c r="R66" s="46">
        <f t="shared" si="17"/>
        <v>3.26</v>
      </c>
      <c r="S66" s="46">
        <f t="shared" si="17"/>
        <v>3.59</v>
      </c>
      <c r="T66" s="47">
        <f t="shared" si="17"/>
        <v>1.72</v>
      </c>
      <c r="U66" s="48">
        <f t="shared" si="17"/>
        <v>3.37</v>
      </c>
      <c r="V66" s="45">
        <f t="shared" si="17"/>
        <v>2.9299999999999997</v>
      </c>
      <c r="W66" s="46">
        <f t="shared" si="17"/>
        <v>2.71</v>
      </c>
      <c r="X66" s="46">
        <f t="shared" si="17"/>
        <v>2.8200000000000003</v>
      </c>
      <c r="Y66" s="46">
        <f t="shared" si="17"/>
        <v>1.61</v>
      </c>
      <c r="Z66" s="46">
        <f t="shared" si="17"/>
        <v>3.8099999999999996</v>
      </c>
      <c r="AA66" s="46">
        <f t="shared" si="17"/>
        <v>4.58</v>
      </c>
      <c r="AB66" s="46">
        <f t="shared" si="17"/>
        <v>3.92</v>
      </c>
      <c r="AC66" s="46">
        <f t="shared" si="17"/>
        <v>3.4799999999999995</v>
      </c>
      <c r="AD66" s="47">
        <f t="shared" si="17"/>
        <v>2.16</v>
      </c>
      <c r="AE66" s="48">
        <f t="shared" si="17"/>
        <v>1.06</v>
      </c>
      <c r="AF66" s="45">
        <f t="shared" si="17"/>
        <v>5.79</v>
      </c>
      <c r="AG66" s="46">
        <f t="shared" si="17"/>
        <v>3.59</v>
      </c>
      <c r="AH66" s="46">
        <f t="shared" si="17"/>
        <v>3.92</v>
      </c>
      <c r="AI66" s="46">
        <f t="shared" si="17"/>
        <v>2.2700000000000005</v>
      </c>
      <c r="AJ66" s="46">
        <f t="shared" si="17"/>
        <v>4.8</v>
      </c>
      <c r="AK66" s="46">
        <f t="shared" si="17"/>
        <v>5.13</v>
      </c>
      <c r="AL66" s="46">
        <f t="shared" si="17"/>
        <v>5.5699999999999994</v>
      </c>
      <c r="AM66" s="46">
        <f t="shared" si="17"/>
        <v>5.0199999999999996</v>
      </c>
      <c r="AN66" s="47">
        <f t="shared" si="17"/>
        <v>5.0199999999999996</v>
      </c>
      <c r="AO66" s="48">
        <f t="shared" si="17"/>
        <v>5.35</v>
      </c>
    </row>
    <row r="67" spans="1:41" ht="19" x14ac:dyDescent="0.2">
      <c r="A67" s="1" t="s">
        <v>34</v>
      </c>
      <c r="B67" s="45">
        <f t="shared" ref="B67:K67" si="18">B28-0.7</f>
        <v>1.9000000000000001</v>
      </c>
      <c r="C67" s="46">
        <f t="shared" si="18"/>
        <v>1.7</v>
      </c>
      <c r="D67" s="46">
        <f t="shared" si="18"/>
        <v>1.3</v>
      </c>
      <c r="E67" s="46">
        <f t="shared" si="18"/>
        <v>2.2999999999999998</v>
      </c>
      <c r="F67" s="46">
        <f t="shared" si="18"/>
        <v>1.8</v>
      </c>
      <c r="G67" s="46">
        <f t="shared" si="18"/>
        <v>2.5999999999999996</v>
      </c>
      <c r="H67" s="46">
        <f t="shared" si="18"/>
        <v>1.4000000000000001</v>
      </c>
      <c r="I67" s="46">
        <f t="shared" si="18"/>
        <v>2.0999999999999996</v>
      </c>
      <c r="J67" s="47">
        <f t="shared" si="18"/>
        <v>2.4000000000000004</v>
      </c>
      <c r="K67" s="48">
        <f t="shared" si="18"/>
        <v>2.2000000000000002</v>
      </c>
      <c r="L67" s="45">
        <f t="shared" ref="L67:U67" si="19">L28-0.7</f>
        <v>2.4000000000000004</v>
      </c>
      <c r="M67" s="46">
        <f t="shared" si="19"/>
        <v>2.2000000000000002</v>
      </c>
      <c r="N67" s="46">
        <f t="shared" si="19"/>
        <v>1.7</v>
      </c>
      <c r="O67" s="46">
        <f t="shared" si="19"/>
        <v>2.8</v>
      </c>
      <c r="P67" s="46">
        <f t="shared" si="19"/>
        <v>2</v>
      </c>
      <c r="Q67" s="46">
        <f t="shared" si="19"/>
        <v>2.2999999999999998</v>
      </c>
      <c r="R67" s="46">
        <f t="shared" si="19"/>
        <v>2.5</v>
      </c>
      <c r="S67" s="46">
        <f t="shared" si="19"/>
        <v>3</v>
      </c>
      <c r="T67" s="47">
        <f t="shared" si="19"/>
        <v>1.5000000000000002</v>
      </c>
      <c r="U67" s="48">
        <f t="shared" si="19"/>
        <v>2.9000000000000004</v>
      </c>
      <c r="V67" s="45">
        <f t="shared" ref="V67:AO67" si="20">V28-0.7</f>
        <v>2.5</v>
      </c>
      <c r="W67" s="46">
        <f t="shared" si="20"/>
        <v>2.4000000000000004</v>
      </c>
      <c r="X67" s="46">
        <f t="shared" si="20"/>
        <v>2.5</v>
      </c>
      <c r="Y67" s="46">
        <f t="shared" si="20"/>
        <v>1.5999999999999999</v>
      </c>
      <c r="Z67" s="46">
        <f t="shared" si="20"/>
        <v>2.9000000000000004</v>
      </c>
      <c r="AA67" s="46">
        <f t="shared" si="20"/>
        <v>3.5</v>
      </c>
      <c r="AB67" s="46">
        <f t="shared" si="20"/>
        <v>3.2</v>
      </c>
      <c r="AC67" s="46">
        <f t="shared" si="20"/>
        <v>2.8</v>
      </c>
      <c r="AD67" s="47">
        <f t="shared" si="20"/>
        <v>1.7</v>
      </c>
      <c r="AE67" s="48">
        <f t="shared" si="20"/>
        <v>0.8</v>
      </c>
      <c r="AF67" s="45">
        <f t="shared" si="20"/>
        <v>4.8</v>
      </c>
      <c r="AG67" s="46">
        <f t="shared" si="20"/>
        <v>2.5999999999999996</v>
      </c>
      <c r="AH67" s="46">
        <f t="shared" si="20"/>
        <v>3.0999999999999996</v>
      </c>
      <c r="AI67" s="46">
        <f t="shared" si="20"/>
        <v>2</v>
      </c>
      <c r="AJ67" s="46">
        <f t="shared" si="20"/>
        <v>3.8</v>
      </c>
      <c r="AK67" s="46">
        <f t="shared" si="20"/>
        <v>3.8</v>
      </c>
      <c r="AL67" s="46">
        <f t="shared" si="20"/>
        <v>3.8999999999999995</v>
      </c>
      <c r="AM67" s="46">
        <f t="shared" si="20"/>
        <v>3.8999999999999995</v>
      </c>
      <c r="AN67" s="47">
        <f t="shared" si="20"/>
        <v>4.2</v>
      </c>
      <c r="AO67" s="48">
        <f t="shared" si="20"/>
        <v>4.2</v>
      </c>
    </row>
    <row r="68" spans="1:41" ht="19" x14ac:dyDescent="0.2">
      <c r="A68" s="1" t="s">
        <v>35</v>
      </c>
      <c r="B68" s="45">
        <f t="shared" ref="B68:K68" si="21">B29-0.7</f>
        <v>1.9000000000000001</v>
      </c>
      <c r="C68" s="46">
        <f t="shared" si="21"/>
        <v>1.9000000000000001</v>
      </c>
      <c r="D68" s="46">
        <f t="shared" si="21"/>
        <v>1.1000000000000001</v>
      </c>
      <c r="E68" s="46">
        <f t="shared" si="21"/>
        <v>2.4000000000000004</v>
      </c>
      <c r="F68" s="46">
        <f t="shared" si="21"/>
        <v>2.4000000000000004</v>
      </c>
      <c r="G68" s="46">
        <f t="shared" si="21"/>
        <v>2.7</v>
      </c>
      <c r="H68" s="46">
        <f t="shared" si="21"/>
        <v>1.3</v>
      </c>
      <c r="I68" s="46">
        <f t="shared" si="21"/>
        <v>2.2000000000000002</v>
      </c>
      <c r="J68" s="47">
        <f t="shared" si="21"/>
        <v>2.2000000000000002</v>
      </c>
      <c r="K68" s="48">
        <f t="shared" si="21"/>
        <v>2.2999999999999998</v>
      </c>
      <c r="L68" s="45">
        <f t="shared" ref="L68:U68" si="22">L29-0.7</f>
        <v>2.9000000000000004</v>
      </c>
      <c r="M68" s="46">
        <f t="shared" si="22"/>
        <v>3</v>
      </c>
      <c r="N68" s="46">
        <f t="shared" si="22"/>
        <v>2.0999999999999996</v>
      </c>
      <c r="O68" s="46">
        <f t="shared" si="22"/>
        <v>3.5</v>
      </c>
      <c r="P68" s="46">
        <f t="shared" si="22"/>
        <v>2.0999999999999996</v>
      </c>
      <c r="Q68" s="46">
        <f t="shared" si="22"/>
        <v>2.9000000000000004</v>
      </c>
      <c r="R68" s="46">
        <f t="shared" si="22"/>
        <v>2.9000000000000004</v>
      </c>
      <c r="S68" s="46">
        <f t="shared" si="22"/>
        <v>3.3999999999999995</v>
      </c>
      <c r="T68" s="47">
        <f t="shared" si="22"/>
        <v>1.9000000000000001</v>
      </c>
      <c r="U68" s="48">
        <f t="shared" si="22"/>
        <v>3.2</v>
      </c>
      <c r="V68" s="45">
        <f t="shared" ref="V68:AO68" si="23">V29-0.7</f>
        <v>2.4000000000000004</v>
      </c>
      <c r="W68" s="46">
        <f t="shared" si="23"/>
        <v>2.2999999999999998</v>
      </c>
      <c r="X68" s="46">
        <f t="shared" si="23"/>
        <v>2.5999999999999996</v>
      </c>
      <c r="Y68" s="46">
        <f t="shared" si="23"/>
        <v>1.4000000000000001</v>
      </c>
      <c r="Z68" s="46">
        <f t="shared" si="23"/>
        <v>2.9000000000000004</v>
      </c>
      <c r="AA68" s="46">
        <f t="shared" si="23"/>
        <v>3.5999999999999996</v>
      </c>
      <c r="AB68" s="46">
        <f t="shared" si="23"/>
        <v>3.5</v>
      </c>
      <c r="AC68" s="46">
        <f t="shared" si="23"/>
        <v>2.9000000000000004</v>
      </c>
      <c r="AD68" s="47">
        <f t="shared" si="23"/>
        <v>1.7</v>
      </c>
      <c r="AE68" s="48">
        <f t="shared" si="23"/>
        <v>0.8</v>
      </c>
      <c r="AF68" s="45">
        <f t="shared" si="23"/>
        <v>5.7</v>
      </c>
      <c r="AG68" s="46">
        <f t="shared" si="23"/>
        <v>3.2</v>
      </c>
      <c r="AH68" s="46">
        <f t="shared" si="23"/>
        <v>3.5</v>
      </c>
      <c r="AI68" s="46">
        <f t="shared" si="23"/>
        <v>2.0999999999999996</v>
      </c>
      <c r="AJ68" s="46">
        <f t="shared" si="23"/>
        <v>4.5</v>
      </c>
      <c r="AK68" s="46">
        <f t="shared" si="23"/>
        <v>4.7</v>
      </c>
      <c r="AL68" s="46">
        <f t="shared" si="23"/>
        <v>4.3999999999999995</v>
      </c>
      <c r="AM68" s="46">
        <f t="shared" si="23"/>
        <v>4.5999999999999996</v>
      </c>
      <c r="AN68" s="47">
        <f t="shared" si="23"/>
        <v>4.7</v>
      </c>
      <c r="AO68" s="48">
        <f t="shared" si="23"/>
        <v>4.8999999999999995</v>
      </c>
    </row>
    <row r="69" spans="1:41" ht="19" x14ac:dyDescent="0.2">
      <c r="A69" s="1" t="s">
        <v>40</v>
      </c>
      <c r="B69" s="45">
        <f t="shared" ref="B69:K69" si="24">B30-0.7</f>
        <v>2.2000000000000002</v>
      </c>
      <c r="C69" s="46">
        <f t="shared" si="24"/>
        <v>2.0999999999999996</v>
      </c>
      <c r="D69" s="46">
        <f t="shared" si="24"/>
        <v>0.90000000000000013</v>
      </c>
      <c r="E69" s="46">
        <f t="shared" si="24"/>
        <v>2.5</v>
      </c>
      <c r="F69" s="46">
        <f t="shared" si="24"/>
        <v>2.0999999999999996</v>
      </c>
      <c r="G69" s="46">
        <f t="shared" si="24"/>
        <v>2.8</v>
      </c>
      <c r="H69" s="46">
        <f t="shared" si="24"/>
        <v>1.2</v>
      </c>
      <c r="I69" s="46">
        <f t="shared" si="24"/>
        <v>2.2999999999999998</v>
      </c>
      <c r="J69" s="47">
        <f t="shared" si="24"/>
        <v>2.2999999999999998</v>
      </c>
      <c r="K69" s="48">
        <f t="shared" si="24"/>
        <v>2.5</v>
      </c>
      <c r="L69" s="45">
        <f t="shared" ref="L69:U69" si="25">L30-0.7</f>
        <v>2.7</v>
      </c>
      <c r="M69" s="46">
        <f t="shared" si="25"/>
        <v>2.7</v>
      </c>
      <c r="N69" s="46">
        <f t="shared" si="25"/>
        <v>1.7</v>
      </c>
      <c r="O69" s="46">
        <f t="shared" si="25"/>
        <v>3.0999999999999996</v>
      </c>
      <c r="P69" s="46">
        <f t="shared" si="25"/>
        <v>1.9000000000000001</v>
      </c>
      <c r="Q69" s="46">
        <f t="shared" si="25"/>
        <v>2.7</v>
      </c>
      <c r="R69" s="46">
        <f t="shared" si="25"/>
        <v>2.5999999999999996</v>
      </c>
      <c r="S69" s="46">
        <f t="shared" si="25"/>
        <v>2.7</v>
      </c>
      <c r="T69" s="47">
        <f t="shared" si="25"/>
        <v>1.1000000000000001</v>
      </c>
      <c r="U69" s="48">
        <f t="shared" si="25"/>
        <v>2.8</v>
      </c>
      <c r="V69" s="141" t="s">
        <v>39</v>
      </c>
      <c r="W69" s="142"/>
      <c r="X69" s="46">
        <f t="shared" ref="X69:AO69" si="26">X30-0.7</f>
        <v>2.9000000000000004</v>
      </c>
      <c r="Y69" s="46">
        <f t="shared" si="26"/>
        <v>1.8</v>
      </c>
      <c r="Z69" s="46">
        <f t="shared" si="26"/>
        <v>3.0999999999999996</v>
      </c>
      <c r="AA69" s="46">
        <f t="shared" si="26"/>
        <v>4</v>
      </c>
      <c r="AB69" s="46">
        <f t="shared" si="26"/>
        <v>3.5</v>
      </c>
      <c r="AC69" s="46">
        <f t="shared" si="26"/>
        <v>2.8</v>
      </c>
      <c r="AD69" s="47">
        <f t="shared" si="26"/>
        <v>2.0999999999999996</v>
      </c>
      <c r="AE69" s="48">
        <f t="shared" si="26"/>
        <v>0.90000000000000013</v>
      </c>
      <c r="AF69" s="45">
        <f t="shared" si="26"/>
        <v>5.5</v>
      </c>
      <c r="AG69" s="46">
        <f t="shared" si="26"/>
        <v>2.5999999999999996</v>
      </c>
      <c r="AH69" s="46">
        <f t="shared" si="26"/>
        <v>3.3999999999999995</v>
      </c>
      <c r="AI69" s="46">
        <f t="shared" si="26"/>
        <v>2.0999999999999996</v>
      </c>
      <c r="AJ69" s="46">
        <f t="shared" si="26"/>
        <v>4.2</v>
      </c>
      <c r="AK69" s="46">
        <f t="shared" si="26"/>
        <v>4.2</v>
      </c>
      <c r="AL69" s="46">
        <f t="shared" si="26"/>
        <v>4.0999999999999996</v>
      </c>
      <c r="AM69" s="46">
        <f t="shared" si="26"/>
        <v>4.2</v>
      </c>
      <c r="AN69" s="47">
        <f t="shared" si="26"/>
        <v>4.5</v>
      </c>
      <c r="AO69" s="48">
        <f t="shared" si="26"/>
        <v>4.2</v>
      </c>
    </row>
    <row r="70" spans="1:41" ht="19" x14ac:dyDescent="0.2">
      <c r="A70" s="1" t="s">
        <v>41</v>
      </c>
      <c r="B70" s="45">
        <f t="shared" ref="B70:K70" si="27">B31-0.7</f>
        <v>1.8</v>
      </c>
      <c r="C70" s="46">
        <f t="shared" si="27"/>
        <v>1.9000000000000001</v>
      </c>
      <c r="D70" s="46">
        <f t="shared" si="27"/>
        <v>0.90000000000000013</v>
      </c>
      <c r="E70" s="46">
        <f t="shared" si="27"/>
        <v>2.4000000000000004</v>
      </c>
      <c r="F70" s="46">
        <f t="shared" si="27"/>
        <v>2.2999999999999998</v>
      </c>
      <c r="G70" s="46">
        <f t="shared" si="27"/>
        <v>2.9000000000000004</v>
      </c>
      <c r="H70" s="46">
        <f t="shared" si="27"/>
        <v>1.1000000000000001</v>
      </c>
      <c r="I70" s="46">
        <f t="shared" si="27"/>
        <v>2.2000000000000002</v>
      </c>
      <c r="J70" s="47">
        <f t="shared" si="27"/>
        <v>2.0999999999999996</v>
      </c>
      <c r="K70" s="48">
        <f t="shared" si="27"/>
        <v>2.2999999999999998</v>
      </c>
      <c r="L70" s="45">
        <f t="shared" ref="L70:U70" si="28">L31-0.7</f>
        <v>3.2</v>
      </c>
      <c r="M70" s="46">
        <f t="shared" si="28"/>
        <v>3</v>
      </c>
      <c r="N70" s="46">
        <f t="shared" si="28"/>
        <v>2.0999999999999996</v>
      </c>
      <c r="O70" s="46">
        <f t="shared" si="28"/>
        <v>3.8</v>
      </c>
      <c r="P70" s="46">
        <f t="shared" si="28"/>
        <v>1.7</v>
      </c>
      <c r="Q70" s="46">
        <f t="shared" si="28"/>
        <v>3.0999999999999996</v>
      </c>
      <c r="R70" s="46">
        <f t="shared" si="28"/>
        <v>3.0999999999999996</v>
      </c>
      <c r="S70" s="46">
        <f t="shared" si="28"/>
        <v>3.5999999999999996</v>
      </c>
      <c r="T70" s="47">
        <f t="shared" si="28"/>
        <v>1.7</v>
      </c>
      <c r="U70" s="48">
        <f t="shared" si="28"/>
        <v>3.3999999999999995</v>
      </c>
      <c r="V70" s="143"/>
      <c r="W70" s="144"/>
      <c r="X70" s="46">
        <f t="shared" ref="X70:AO70" si="29">X31-0.7</f>
        <v>2.7</v>
      </c>
      <c r="Y70" s="46">
        <f t="shared" si="29"/>
        <v>1.4000000000000001</v>
      </c>
      <c r="Z70" s="46">
        <f t="shared" si="29"/>
        <v>3</v>
      </c>
      <c r="AA70" s="46">
        <f t="shared" si="29"/>
        <v>4</v>
      </c>
      <c r="AB70" s="46">
        <f t="shared" si="29"/>
        <v>3.5</v>
      </c>
      <c r="AC70" s="46">
        <f t="shared" si="29"/>
        <v>2.8</v>
      </c>
      <c r="AD70" s="47">
        <f t="shared" si="29"/>
        <v>1.7</v>
      </c>
      <c r="AE70" s="48">
        <f t="shared" si="29"/>
        <v>0.8</v>
      </c>
      <c r="AF70" s="45">
        <f t="shared" si="29"/>
        <v>6</v>
      </c>
      <c r="AG70" s="46">
        <f t="shared" si="29"/>
        <v>3</v>
      </c>
      <c r="AH70" s="46">
        <f t="shared" si="29"/>
        <v>3.5999999999999996</v>
      </c>
      <c r="AI70" s="46">
        <f t="shared" si="29"/>
        <v>2.2999999999999998</v>
      </c>
      <c r="AJ70" s="46">
        <f t="shared" si="29"/>
        <v>4.8</v>
      </c>
      <c r="AK70" s="46">
        <f t="shared" si="29"/>
        <v>4.8</v>
      </c>
      <c r="AL70" s="46">
        <f t="shared" si="29"/>
        <v>4.7</v>
      </c>
      <c r="AM70" s="46">
        <f t="shared" si="29"/>
        <v>4.8999999999999995</v>
      </c>
      <c r="AN70" s="47">
        <f t="shared" si="29"/>
        <v>5.0999999999999996</v>
      </c>
      <c r="AO70" s="48">
        <f t="shared" si="29"/>
        <v>4.8</v>
      </c>
    </row>
    <row r="71" spans="1:41" ht="19" x14ac:dyDescent="0.2">
      <c r="A71" s="1" t="s">
        <v>42</v>
      </c>
      <c r="B71" s="45">
        <f t="shared" ref="B71:K71" si="30">B32-0.7</f>
        <v>2.4000000000000004</v>
      </c>
      <c r="C71" s="46">
        <f t="shared" si="30"/>
        <v>2.5</v>
      </c>
      <c r="D71" s="46">
        <f t="shared" si="30"/>
        <v>1.3</v>
      </c>
      <c r="E71" s="46">
        <f t="shared" si="30"/>
        <v>3</v>
      </c>
      <c r="F71" s="46">
        <f t="shared" si="30"/>
        <v>3.2</v>
      </c>
      <c r="G71" s="46">
        <f t="shared" si="30"/>
        <v>3.3</v>
      </c>
      <c r="H71" s="46">
        <f t="shared" si="30"/>
        <v>1.8</v>
      </c>
      <c r="I71" s="46">
        <f t="shared" si="30"/>
        <v>3</v>
      </c>
      <c r="J71" s="47">
        <f t="shared" si="30"/>
        <v>2.7</v>
      </c>
      <c r="K71" s="48">
        <f t="shared" si="30"/>
        <v>2.8</v>
      </c>
      <c r="L71" s="45">
        <f t="shared" ref="L71:U71" si="31">L32-0.7</f>
        <v>3.3999999999999995</v>
      </c>
      <c r="M71" s="46">
        <f t="shared" si="31"/>
        <v>3.2</v>
      </c>
      <c r="N71" s="46">
        <f t="shared" si="31"/>
        <v>2.2999999999999998</v>
      </c>
      <c r="O71" s="46">
        <f t="shared" si="31"/>
        <v>3.8999999999999995</v>
      </c>
      <c r="P71" s="46">
        <f t="shared" si="31"/>
        <v>2</v>
      </c>
      <c r="Q71" s="46">
        <f t="shared" si="31"/>
        <v>3.2</v>
      </c>
      <c r="R71" s="46">
        <f t="shared" si="31"/>
        <v>3</v>
      </c>
      <c r="S71" s="46">
        <f t="shared" si="31"/>
        <v>3.2</v>
      </c>
      <c r="T71" s="47">
        <f t="shared" si="31"/>
        <v>2</v>
      </c>
      <c r="U71" s="48">
        <f t="shared" si="31"/>
        <v>3.3</v>
      </c>
      <c r="V71" s="11"/>
      <c r="W71" s="15"/>
      <c r="X71" s="46">
        <f t="shared" ref="X71:AO71" si="32">X32-0.7</f>
        <v>3</v>
      </c>
      <c r="Y71" s="46">
        <f t="shared" si="32"/>
        <v>1.7</v>
      </c>
      <c r="Z71" s="46">
        <f t="shared" si="32"/>
        <v>3.8999999999999995</v>
      </c>
      <c r="AA71" s="46">
        <f t="shared" si="32"/>
        <v>4.5999999999999996</v>
      </c>
      <c r="AB71" s="46">
        <f t="shared" si="32"/>
        <v>3.8999999999999995</v>
      </c>
      <c r="AC71" s="46">
        <f t="shared" si="32"/>
        <v>3.2</v>
      </c>
      <c r="AD71" s="47">
        <f t="shared" si="32"/>
        <v>2.2000000000000002</v>
      </c>
      <c r="AE71" s="48">
        <f t="shared" si="32"/>
        <v>0.90000000000000013</v>
      </c>
      <c r="AF71" s="45">
        <f t="shared" si="32"/>
        <v>5.3999999999999995</v>
      </c>
      <c r="AG71" s="46">
        <f t="shared" si="32"/>
        <v>2.9000000000000004</v>
      </c>
      <c r="AH71" s="46">
        <f t="shared" si="32"/>
        <v>3.5</v>
      </c>
      <c r="AI71" s="46">
        <f t="shared" si="32"/>
        <v>2.0999999999999996</v>
      </c>
      <c r="AJ71" s="46">
        <f t="shared" si="32"/>
        <v>4.2</v>
      </c>
      <c r="AK71" s="46">
        <f t="shared" si="32"/>
        <v>4.5999999999999996</v>
      </c>
      <c r="AL71" s="46">
        <f t="shared" si="32"/>
        <v>4.7</v>
      </c>
      <c r="AM71" s="46">
        <f t="shared" si="32"/>
        <v>4.3999999999999995</v>
      </c>
      <c r="AN71" s="47">
        <f t="shared" si="32"/>
        <v>4.8</v>
      </c>
      <c r="AO71" s="48">
        <f t="shared" si="32"/>
        <v>4.7</v>
      </c>
    </row>
    <row r="72" spans="1:41" ht="19" x14ac:dyDescent="0.2">
      <c r="A72" s="1" t="s">
        <v>43</v>
      </c>
      <c r="B72" s="45">
        <f t="shared" ref="B72:U72" si="33">B33-0.7</f>
        <v>2.2999999999999998</v>
      </c>
      <c r="C72" s="46">
        <f t="shared" si="33"/>
        <v>2.4000000000000004</v>
      </c>
      <c r="D72" s="46">
        <f t="shared" si="33"/>
        <v>1.1000000000000001</v>
      </c>
      <c r="E72" s="46">
        <f t="shared" si="33"/>
        <v>2.7</v>
      </c>
      <c r="F72" s="46">
        <f t="shared" si="33"/>
        <v>2.8</v>
      </c>
      <c r="G72" s="46">
        <f t="shared" si="33"/>
        <v>3.0999999999999996</v>
      </c>
      <c r="H72" s="46">
        <f t="shared" si="33"/>
        <v>1.3</v>
      </c>
      <c r="I72" s="46">
        <f t="shared" si="33"/>
        <v>2.8</v>
      </c>
      <c r="J72" s="47">
        <f t="shared" si="33"/>
        <v>2.5</v>
      </c>
      <c r="K72" s="48">
        <f t="shared" si="33"/>
        <v>2.8</v>
      </c>
      <c r="L72" s="45">
        <f t="shared" si="33"/>
        <v>3.8999999999999995</v>
      </c>
      <c r="M72" s="46">
        <f t="shared" si="33"/>
        <v>3.5999999999999996</v>
      </c>
      <c r="N72" s="46">
        <f t="shared" si="33"/>
        <v>1.4000000000000001</v>
      </c>
      <c r="O72" s="46">
        <f t="shared" si="33"/>
        <v>4.5</v>
      </c>
      <c r="P72" s="46">
        <f t="shared" si="33"/>
        <v>2.2000000000000002</v>
      </c>
      <c r="Q72" s="46">
        <f t="shared" si="33"/>
        <v>3.5999999999999996</v>
      </c>
      <c r="R72" s="46">
        <f t="shared" si="33"/>
        <v>3.8999999999999995</v>
      </c>
      <c r="S72" s="46">
        <f t="shared" si="33"/>
        <v>4.0999999999999996</v>
      </c>
      <c r="T72" s="47">
        <f t="shared" si="33"/>
        <v>2.8</v>
      </c>
      <c r="U72" s="48">
        <f t="shared" si="33"/>
        <v>3.8</v>
      </c>
      <c r="V72" s="11"/>
      <c r="W72" s="15"/>
      <c r="X72" s="46">
        <f t="shared" ref="X72:AO72" si="34">X33-0.7</f>
        <v>2.8</v>
      </c>
      <c r="Y72" s="46">
        <f t="shared" si="34"/>
        <v>1.4000000000000001</v>
      </c>
      <c r="Z72" s="46">
        <f t="shared" si="34"/>
        <v>3.5</v>
      </c>
      <c r="AA72" s="46">
        <f t="shared" si="34"/>
        <v>4.3999999999999995</v>
      </c>
      <c r="AB72" s="46">
        <f t="shared" si="34"/>
        <v>3.5</v>
      </c>
      <c r="AC72" s="46">
        <f t="shared" si="34"/>
        <v>2.8</v>
      </c>
      <c r="AD72" s="47">
        <f t="shared" si="34"/>
        <v>2</v>
      </c>
      <c r="AE72" s="48">
        <f t="shared" si="34"/>
        <v>1</v>
      </c>
      <c r="AF72" s="45">
        <f t="shared" si="34"/>
        <v>6.1</v>
      </c>
      <c r="AG72" s="46">
        <f t="shared" si="34"/>
        <v>3.8</v>
      </c>
      <c r="AH72" s="46">
        <f t="shared" si="34"/>
        <v>3.8</v>
      </c>
      <c r="AI72" s="46">
        <f t="shared" si="34"/>
        <v>2.5999999999999996</v>
      </c>
      <c r="AJ72" s="46">
        <f t="shared" si="34"/>
        <v>4.8</v>
      </c>
      <c r="AK72" s="46">
        <f t="shared" si="34"/>
        <v>5.5</v>
      </c>
      <c r="AL72" s="46">
        <f t="shared" si="34"/>
        <v>5.0999999999999996</v>
      </c>
      <c r="AM72" s="46">
        <f t="shared" si="34"/>
        <v>5.3999999999999995</v>
      </c>
      <c r="AN72" s="47">
        <f t="shared" si="34"/>
        <v>5.7</v>
      </c>
      <c r="AO72" s="48">
        <f t="shared" si="34"/>
        <v>5.6</v>
      </c>
    </row>
    <row r="73" spans="1:41" ht="20" thickBot="1" x14ac:dyDescent="0.25">
      <c r="A73" s="1" t="s">
        <v>53</v>
      </c>
      <c r="B73" s="45">
        <f t="shared" ref="B73:U73" si="35">B34-0.7</f>
        <v>2.2000000000000002</v>
      </c>
      <c r="C73" s="46">
        <f t="shared" si="35"/>
        <v>2.4000000000000004</v>
      </c>
      <c r="D73" s="46">
        <f t="shared" si="35"/>
        <v>1.1000000000000001</v>
      </c>
      <c r="E73" s="46">
        <f t="shared" si="35"/>
        <v>3.0999999999999996</v>
      </c>
      <c r="F73" s="46">
        <f t="shared" si="35"/>
        <v>3.3</v>
      </c>
      <c r="G73" s="46">
        <f t="shared" si="35"/>
        <v>3.5999999999999996</v>
      </c>
      <c r="H73" s="46">
        <f t="shared" si="35"/>
        <v>1.3</v>
      </c>
      <c r="I73" s="46">
        <f t="shared" si="35"/>
        <v>2.8</v>
      </c>
      <c r="J73" s="47">
        <f t="shared" si="35"/>
        <v>2.5999999999999996</v>
      </c>
      <c r="K73" s="48">
        <f t="shared" si="35"/>
        <v>2.8</v>
      </c>
      <c r="L73" s="45">
        <f t="shared" si="35"/>
        <v>3.5</v>
      </c>
      <c r="M73" s="46">
        <f t="shared" si="35"/>
        <v>3.7</v>
      </c>
      <c r="N73" s="46">
        <f t="shared" si="35"/>
        <v>2.2999999999999998</v>
      </c>
      <c r="O73" s="46">
        <f t="shared" si="35"/>
        <v>4.0999999999999996</v>
      </c>
      <c r="P73" s="46">
        <f t="shared" si="35"/>
        <v>2</v>
      </c>
      <c r="Q73" s="46">
        <f t="shared" si="35"/>
        <v>3.7</v>
      </c>
      <c r="R73" s="46">
        <f t="shared" si="35"/>
        <v>3.5999999999999996</v>
      </c>
      <c r="S73" s="46">
        <f t="shared" si="35"/>
        <v>3.8</v>
      </c>
      <c r="T73" s="47">
        <f t="shared" si="35"/>
        <v>2.2999999999999998</v>
      </c>
      <c r="U73" s="48">
        <f t="shared" si="35"/>
        <v>4.2</v>
      </c>
      <c r="V73" s="11"/>
      <c r="W73" s="15"/>
      <c r="X73" s="46">
        <f t="shared" ref="X73:AO73" si="36">X34-0.7</f>
        <v>3</v>
      </c>
      <c r="Y73" s="46">
        <f t="shared" si="36"/>
        <v>1.5999999999999999</v>
      </c>
      <c r="Z73" s="46">
        <f t="shared" si="36"/>
        <v>3.3999999999999995</v>
      </c>
      <c r="AA73" s="46">
        <f t="shared" si="36"/>
        <v>4.3999999999999995</v>
      </c>
      <c r="AB73" s="46">
        <f t="shared" si="36"/>
        <v>3.8</v>
      </c>
      <c r="AC73" s="46">
        <f t="shared" si="36"/>
        <v>3.0999999999999996</v>
      </c>
      <c r="AD73" s="47">
        <f t="shared" si="36"/>
        <v>2</v>
      </c>
      <c r="AE73" s="48">
        <f t="shared" si="36"/>
        <v>0.8</v>
      </c>
      <c r="AF73" s="45">
        <f t="shared" si="36"/>
        <v>5.8</v>
      </c>
      <c r="AG73" s="46">
        <f t="shared" si="36"/>
        <v>3.5</v>
      </c>
      <c r="AH73" s="46">
        <f t="shared" si="36"/>
        <v>3.5</v>
      </c>
      <c r="AI73" s="46">
        <f t="shared" si="36"/>
        <v>2.5999999999999996</v>
      </c>
      <c r="AJ73" s="46">
        <f t="shared" si="36"/>
        <v>4.3999999999999995</v>
      </c>
      <c r="AK73" s="46">
        <f t="shared" si="36"/>
        <v>5</v>
      </c>
      <c r="AL73" s="46">
        <f t="shared" si="36"/>
        <v>4.8999999999999995</v>
      </c>
      <c r="AM73" s="46">
        <f t="shared" si="36"/>
        <v>5</v>
      </c>
      <c r="AN73" s="47">
        <f t="shared" si="36"/>
        <v>5.2</v>
      </c>
      <c r="AO73" s="48">
        <f t="shared" si="36"/>
        <v>5.0999999999999996</v>
      </c>
    </row>
    <row r="74" spans="1:41" ht="20" thickBot="1" x14ac:dyDescent="0.25">
      <c r="A74" s="1" t="s">
        <v>54</v>
      </c>
      <c r="B74" s="45">
        <f t="shared" ref="B74:U74" si="37">B35-0.7</f>
        <v>2.5999999999999996</v>
      </c>
      <c r="C74" s="46">
        <f t="shared" si="37"/>
        <v>2.5</v>
      </c>
      <c r="D74" s="46">
        <f t="shared" si="37"/>
        <v>1.1000000000000001</v>
      </c>
      <c r="E74" s="46">
        <f t="shared" si="37"/>
        <v>3.3</v>
      </c>
      <c r="F74" s="46">
        <f t="shared" si="37"/>
        <v>3.3</v>
      </c>
      <c r="G74" s="46">
        <f t="shared" si="37"/>
        <v>3.3</v>
      </c>
      <c r="H74" s="46">
        <f t="shared" si="37"/>
        <v>1.5000000000000002</v>
      </c>
      <c r="I74" s="46">
        <f t="shared" si="37"/>
        <v>3</v>
      </c>
      <c r="J74" s="47">
        <f t="shared" si="37"/>
        <v>2.8</v>
      </c>
      <c r="K74" s="48">
        <f t="shared" si="37"/>
        <v>3</v>
      </c>
      <c r="L74" s="45">
        <f t="shared" si="37"/>
        <v>4.0999999999999996</v>
      </c>
      <c r="M74" s="46">
        <f t="shared" si="37"/>
        <v>4.3999999999999995</v>
      </c>
      <c r="N74" s="46">
        <f t="shared" si="37"/>
        <v>3</v>
      </c>
      <c r="O74" s="46">
        <f t="shared" si="37"/>
        <v>4.8</v>
      </c>
      <c r="P74" s="46">
        <f t="shared" si="37"/>
        <v>2.2999999999999998</v>
      </c>
      <c r="Q74" s="46">
        <f t="shared" si="37"/>
        <v>4</v>
      </c>
      <c r="R74" s="46">
        <f t="shared" si="37"/>
        <v>4.3999999999999995</v>
      </c>
      <c r="S74" s="46">
        <f t="shared" si="37"/>
        <v>4.5</v>
      </c>
      <c r="T74" s="47">
        <f t="shared" si="37"/>
        <v>2.8</v>
      </c>
      <c r="U74" s="48">
        <f t="shared" si="37"/>
        <v>4.3</v>
      </c>
      <c r="V74" s="11"/>
      <c r="W74" s="15"/>
      <c r="X74" s="46">
        <f t="shared" ref="X74:AE78" si="38">X35-0.7</f>
        <v>3.2</v>
      </c>
      <c r="Y74" s="46">
        <f t="shared" si="38"/>
        <v>1.5999999999999999</v>
      </c>
      <c r="Z74" s="46">
        <f t="shared" si="38"/>
        <v>3.3999999999999995</v>
      </c>
      <c r="AA74" s="46">
        <f t="shared" si="38"/>
        <v>4.5999999999999996</v>
      </c>
      <c r="AB74" s="46">
        <f t="shared" si="38"/>
        <v>4.0999999999999996</v>
      </c>
      <c r="AC74" s="46">
        <f t="shared" si="38"/>
        <v>3.0999999999999996</v>
      </c>
      <c r="AD74" s="47">
        <f t="shared" si="38"/>
        <v>2.0999999999999996</v>
      </c>
      <c r="AE74" s="48">
        <f t="shared" si="38"/>
        <v>1</v>
      </c>
      <c r="AF74" s="107" t="s">
        <v>52</v>
      </c>
      <c r="AG74" s="110"/>
      <c r="AH74" s="110"/>
      <c r="AI74" s="110"/>
      <c r="AJ74" s="110"/>
      <c r="AK74" s="110"/>
      <c r="AL74" s="110"/>
      <c r="AM74" s="110"/>
      <c r="AN74" s="110"/>
      <c r="AO74" s="111"/>
    </row>
    <row r="75" spans="1:41" ht="19" x14ac:dyDescent="0.2">
      <c r="A75" s="1" t="s">
        <v>55</v>
      </c>
      <c r="B75" s="45">
        <f t="shared" ref="B75:U75" si="39">B36-0.7</f>
        <v>2.7</v>
      </c>
      <c r="C75" s="46">
        <f t="shared" si="39"/>
        <v>2.7</v>
      </c>
      <c r="D75" s="46">
        <f t="shared" si="39"/>
        <v>1.3</v>
      </c>
      <c r="E75" s="46">
        <f t="shared" si="39"/>
        <v>3.5</v>
      </c>
      <c r="F75" s="46">
        <f t="shared" si="39"/>
        <v>3.7</v>
      </c>
      <c r="G75" s="46">
        <f t="shared" si="39"/>
        <v>3.5</v>
      </c>
      <c r="H75" s="46">
        <f t="shared" si="39"/>
        <v>1.3</v>
      </c>
      <c r="I75" s="46">
        <f t="shared" si="39"/>
        <v>3</v>
      </c>
      <c r="J75" s="47">
        <f t="shared" si="39"/>
        <v>2.9000000000000004</v>
      </c>
      <c r="K75" s="48">
        <f t="shared" si="39"/>
        <v>3.0999999999999996</v>
      </c>
      <c r="L75" s="45">
        <f t="shared" si="39"/>
        <v>3.8999999999999995</v>
      </c>
      <c r="M75" s="46">
        <f t="shared" si="39"/>
        <v>4.0999999999999996</v>
      </c>
      <c r="N75" s="46">
        <f t="shared" si="39"/>
        <v>1.3</v>
      </c>
      <c r="O75" s="46">
        <f t="shared" si="39"/>
        <v>5</v>
      </c>
      <c r="P75" s="46">
        <f t="shared" si="39"/>
        <v>2.0999999999999996</v>
      </c>
      <c r="Q75" s="46">
        <f t="shared" si="39"/>
        <v>3.8999999999999995</v>
      </c>
      <c r="R75" s="46">
        <f t="shared" si="39"/>
        <v>3.8999999999999995</v>
      </c>
      <c r="S75" s="46">
        <f t="shared" si="39"/>
        <v>4.0999999999999996</v>
      </c>
      <c r="T75" s="47">
        <f t="shared" si="39"/>
        <v>2.5999999999999996</v>
      </c>
      <c r="U75" s="48">
        <f t="shared" si="39"/>
        <v>4.0999999999999996</v>
      </c>
      <c r="V75" s="11"/>
      <c r="W75" s="15"/>
      <c r="X75" s="46">
        <f t="shared" si="38"/>
        <v>3.3</v>
      </c>
      <c r="Y75" s="46">
        <f t="shared" si="38"/>
        <v>1.8</v>
      </c>
      <c r="Z75" s="46">
        <f t="shared" si="38"/>
        <v>3.7</v>
      </c>
      <c r="AA75" s="46">
        <f t="shared" si="38"/>
        <v>4.8999999999999995</v>
      </c>
      <c r="AB75" s="46">
        <f t="shared" si="38"/>
        <v>4</v>
      </c>
      <c r="AC75" s="46">
        <f t="shared" si="38"/>
        <v>3.0999999999999996</v>
      </c>
      <c r="AD75" s="47">
        <f t="shared" si="38"/>
        <v>2.4000000000000004</v>
      </c>
      <c r="AE75" s="48">
        <f t="shared" si="38"/>
        <v>0.8</v>
      </c>
      <c r="AF75" s="11"/>
      <c r="AG75" s="15"/>
      <c r="AH75" s="15"/>
      <c r="AI75" s="15"/>
      <c r="AJ75" s="15"/>
      <c r="AK75" s="15"/>
      <c r="AL75" s="15"/>
      <c r="AM75" s="15"/>
      <c r="AN75" s="51"/>
      <c r="AO75" s="52"/>
    </row>
    <row r="76" spans="1:41" ht="19" x14ac:dyDescent="0.2">
      <c r="A76" s="1" t="s">
        <v>56</v>
      </c>
      <c r="B76" s="45">
        <f t="shared" ref="B76:U76" si="40">B37-0.7</f>
        <v>3.0999999999999996</v>
      </c>
      <c r="C76" s="46">
        <f t="shared" si="40"/>
        <v>2.9000000000000004</v>
      </c>
      <c r="D76" s="46">
        <f t="shared" si="40"/>
        <v>1</v>
      </c>
      <c r="E76" s="46">
        <f t="shared" si="40"/>
        <v>3.8999999999999995</v>
      </c>
      <c r="F76" s="46">
        <f t="shared" si="40"/>
        <v>4.3</v>
      </c>
      <c r="G76" s="46">
        <f t="shared" si="40"/>
        <v>3.7</v>
      </c>
      <c r="H76" s="46">
        <f t="shared" si="40"/>
        <v>1.4000000000000001</v>
      </c>
      <c r="I76" s="46">
        <f t="shared" si="40"/>
        <v>3.2</v>
      </c>
      <c r="J76" s="47">
        <f t="shared" si="40"/>
        <v>3</v>
      </c>
      <c r="K76" s="48">
        <f t="shared" si="40"/>
        <v>3.3</v>
      </c>
      <c r="L76" s="45">
        <f t="shared" si="40"/>
        <v>4.3999999999999995</v>
      </c>
      <c r="M76" s="46">
        <f t="shared" si="40"/>
        <v>4.3</v>
      </c>
      <c r="N76" s="46">
        <f t="shared" si="40"/>
        <v>2.7</v>
      </c>
      <c r="O76" s="46">
        <f t="shared" si="40"/>
        <v>5.8</v>
      </c>
      <c r="P76" s="46">
        <f t="shared" si="40"/>
        <v>2.2999999999999998</v>
      </c>
      <c r="Q76" s="46">
        <f t="shared" si="40"/>
        <v>4.0999999999999996</v>
      </c>
      <c r="R76" s="46">
        <f t="shared" si="40"/>
        <v>4.3999999999999995</v>
      </c>
      <c r="S76" s="46">
        <f t="shared" si="40"/>
        <v>4.5999999999999996</v>
      </c>
      <c r="T76" s="47">
        <f t="shared" si="40"/>
        <v>3.2</v>
      </c>
      <c r="U76" s="48">
        <f t="shared" si="40"/>
        <v>4.7</v>
      </c>
      <c r="V76" s="11"/>
      <c r="W76" s="15"/>
      <c r="X76" s="46">
        <f t="shared" si="38"/>
        <v>3.3</v>
      </c>
      <c r="Y76" s="46">
        <f t="shared" si="38"/>
        <v>2</v>
      </c>
      <c r="Z76" s="46">
        <f t="shared" si="38"/>
        <v>3.7</v>
      </c>
      <c r="AA76" s="46">
        <f t="shared" si="38"/>
        <v>5.0999999999999996</v>
      </c>
      <c r="AB76" s="46">
        <f t="shared" si="38"/>
        <v>4.3</v>
      </c>
      <c r="AC76" s="46">
        <f t="shared" si="38"/>
        <v>3.5999999999999996</v>
      </c>
      <c r="AD76" s="47">
        <f t="shared" si="38"/>
        <v>2.9000000000000004</v>
      </c>
      <c r="AE76" s="48">
        <f t="shared" si="38"/>
        <v>0.90000000000000013</v>
      </c>
      <c r="AF76" s="11"/>
      <c r="AG76" s="15"/>
      <c r="AH76" s="15"/>
      <c r="AI76" s="15"/>
      <c r="AJ76" s="15"/>
      <c r="AK76" s="15"/>
      <c r="AL76" s="15"/>
      <c r="AM76" s="15"/>
      <c r="AN76" s="15"/>
      <c r="AO76" s="10"/>
    </row>
    <row r="77" spans="1:41" ht="19" x14ac:dyDescent="0.2">
      <c r="A77" s="1" t="s">
        <v>57</v>
      </c>
      <c r="B77" s="45">
        <f t="shared" ref="B77:U77" si="41">B38-0.7</f>
        <v>4.3</v>
      </c>
      <c r="C77" s="46">
        <f t="shared" si="41"/>
        <v>3.8999999999999995</v>
      </c>
      <c r="D77" s="46">
        <f t="shared" si="41"/>
        <v>1.4000000000000001</v>
      </c>
      <c r="E77" s="46">
        <f t="shared" si="41"/>
        <v>4.8</v>
      </c>
      <c r="F77" s="46">
        <f t="shared" si="41"/>
        <v>4.8</v>
      </c>
      <c r="G77" s="46">
        <f t="shared" si="41"/>
        <v>4.3999999999999995</v>
      </c>
      <c r="H77" s="46">
        <f t="shared" si="41"/>
        <v>1.7</v>
      </c>
      <c r="I77" s="46">
        <f t="shared" si="41"/>
        <v>4</v>
      </c>
      <c r="J77" s="47">
        <f t="shared" si="41"/>
        <v>3.5</v>
      </c>
      <c r="K77" s="48">
        <f t="shared" si="41"/>
        <v>3.8999999999999995</v>
      </c>
      <c r="L77" s="45">
        <f t="shared" si="41"/>
        <v>5</v>
      </c>
      <c r="M77" s="46">
        <f t="shared" si="41"/>
        <v>4.8999999999999995</v>
      </c>
      <c r="N77" s="46">
        <f t="shared" si="41"/>
        <v>3.8</v>
      </c>
      <c r="O77" s="46">
        <f t="shared" si="41"/>
        <v>5.3</v>
      </c>
      <c r="P77" s="46">
        <f t="shared" si="41"/>
        <v>2.7</v>
      </c>
      <c r="Q77" s="46">
        <f t="shared" si="41"/>
        <v>5.0999999999999996</v>
      </c>
      <c r="R77" s="46">
        <f t="shared" si="41"/>
        <v>5.2</v>
      </c>
      <c r="S77" s="46">
        <f t="shared" si="41"/>
        <v>5.0999999999999996</v>
      </c>
      <c r="T77" s="47">
        <f t="shared" si="41"/>
        <v>3.2</v>
      </c>
      <c r="U77" s="48">
        <f t="shared" si="41"/>
        <v>5.2</v>
      </c>
      <c r="V77" s="11"/>
      <c r="W77" s="15"/>
      <c r="X77" s="46">
        <f t="shared" si="38"/>
        <v>3.8999999999999995</v>
      </c>
      <c r="Y77" s="46">
        <f t="shared" si="38"/>
        <v>2.5999999999999996</v>
      </c>
      <c r="Z77" s="46">
        <f t="shared" si="38"/>
        <v>4.5</v>
      </c>
      <c r="AA77" s="46">
        <f t="shared" si="38"/>
        <v>6.2</v>
      </c>
      <c r="AB77" s="46">
        <f t="shared" si="38"/>
        <v>4.5999999999999996</v>
      </c>
      <c r="AC77" s="46">
        <f t="shared" si="38"/>
        <v>4.2</v>
      </c>
      <c r="AD77" s="47">
        <f t="shared" si="38"/>
        <v>3.5999999999999996</v>
      </c>
      <c r="AE77" s="48">
        <f t="shared" si="38"/>
        <v>1.5999999999999999</v>
      </c>
      <c r="AF77" s="11"/>
      <c r="AG77" s="15"/>
      <c r="AH77" s="15"/>
      <c r="AI77" s="15"/>
      <c r="AJ77" s="15"/>
      <c r="AK77" s="15"/>
      <c r="AL77" s="15"/>
      <c r="AM77" s="15"/>
      <c r="AN77" s="15"/>
      <c r="AO77" s="10"/>
    </row>
    <row r="78" spans="1:41" ht="20" thickBot="1" x14ac:dyDescent="0.25">
      <c r="A78" s="1" t="s">
        <v>60</v>
      </c>
      <c r="B78" s="45">
        <f t="shared" ref="B78:U78" si="42">B39-0.7</f>
        <v>4</v>
      </c>
      <c r="C78" s="46">
        <f t="shared" si="42"/>
        <v>3.7</v>
      </c>
      <c r="D78" s="46">
        <f t="shared" si="42"/>
        <v>1.5999999999999999</v>
      </c>
      <c r="E78" s="46">
        <f t="shared" si="42"/>
        <v>4.3999999999999995</v>
      </c>
      <c r="F78" s="46">
        <f t="shared" si="42"/>
        <v>4.7</v>
      </c>
      <c r="G78" s="46">
        <f t="shared" si="42"/>
        <v>4.3999999999999995</v>
      </c>
      <c r="H78" s="46">
        <f t="shared" si="42"/>
        <v>1.5999999999999999</v>
      </c>
      <c r="I78" s="46">
        <f t="shared" si="42"/>
        <v>3.5</v>
      </c>
      <c r="J78" s="47">
        <f t="shared" si="42"/>
        <v>3.5999999999999996</v>
      </c>
      <c r="K78" s="48">
        <f t="shared" si="42"/>
        <v>3.8</v>
      </c>
      <c r="L78" s="45">
        <f t="shared" si="42"/>
        <v>5.3999999999999995</v>
      </c>
      <c r="M78" s="46">
        <f t="shared" si="42"/>
        <v>4.8999999999999995</v>
      </c>
      <c r="N78" s="46">
        <f t="shared" si="42"/>
        <v>4</v>
      </c>
      <c r="O78" s="46">
        <f t="shared" si="42"/>
        <v>5.8</v>
      </c>
      <c r="P78" s="46">
        <f t="shared" si="42"/>
        <v>2.8</v>
      </c>
      <c r="Q78" s="46">
        <f t="shared" si="42"/>
        <v>4.7</v>
      </c>
      <c r="R78" s="46">
        <f t="shared" si="42"/>
        <v>4.8</v>
      </c>
      <c r="S78" s="46">
        <f t="shared" si="42"/>
        <v>5</v>
      </c>
      <c r="T78" s="47">
        <f t="shared" si="42"/>
        <v>1.9000000000000001</v>
      </c>
      <c r="U78" s="48">
        <f t="shared" si="42"/>
        <v>5.3999999999999995</v>
      </c>
      <c r="V78" s="11"/>
      <c r="W78" s="15"/>
      <c r="X78" s="46">
        <f t="shared" si="38"/>
        <v>3.8999999999999995</v>
      </c>
      <c r="Y78" s="46">
        <f t="shared" si="38"/>
        <v>2.4000000000000004</v>
      </c>
      <c r="Z78" s="46">
        <f t="shared" si="38"/>
        <v>4.5</v>
      </c>
      <c r="AA78" s="46">
        <f t="shared" si="38"/>
        <v>5.8</v>
      </c>
      <c r="AB78" s="46">
        <f t="shared" si="38"/>
        <v>4.5</v>
      </c>
      <c r="AC78" s="46">
        <f t="shared" si="38"/>
        <v>3.8</v>
      </c>
      <c r="AD78" s="47">
        <f t="shared" si="38"/>
        <v>3.5999999999999996</v>
      </c>
      <c r="AE78" s="48">
        <f t="shared" si="38"/>
        <v>1.1000000000000001</v>
      </c>
      <c r="AF78" s="11"/>
      <c r="AG78" s="15"/>
      <c r="AH78" s="15"/>
      <c r="AI78" s="15"/>
      <c r="AJ78" s="15"/>
      <c r="AK78" s="15"/>
      <c r="AL78" s="15"/>
      <c r="AM78" s="15"/>
      <c r="AN78" s="15"/>
      <c r="AO78" s="10"/>
    </row>
    <row r="79" spans="1:41" ht="19" thickBot="1" x14ac:dyDescent="0.25">
      <c r="B79" s="107" t="s">
        <v>66</v>
      </c>
      <c r="C79" s="108"/>
      <c r="D79" s="108"/>
      <c r="E79" s="108"/>
      <c r="F79" s="108"/>
      <c r="G79" s="108"/>
      <c r="H79" s="108"/>
      <c r="I79" s="108"/>
      <c r="J79" s="108"/>
      <c r="K79" s="109"/>
      <c r="L79" s="107" t="s">
        <v>66</v>
      </c>
      <c r="M79" s="108"/>
      <c r="N79" s="108"/>
      <c r="O79" s="108"/>
      <c r="P79" s="108"/>
      <c r="Q79" s="108"/>
      <c r="R79" s="108"/>
      <c r="S79" s="108"/>
      <c r="T79" s="108"/>
      <c r="U79" s="109"/>
      <c r="V79" s="11"/>
      <c r="W79" s="15"/>
      <c r="X79" s="107" t="s">
        <v>66</v>
      </c>
      <c r="Y79" s="110"/>
      <c r="Z79" s="110"/>
      <c r="AA79" s="110"/>
      <c r="AB79" s="110"/>
      <c r="AC79" s="110"/>
      <c r="AD79" s="110"/>
      <c r="AE79" s="111"/>
      <c r="AF79" s="11"/>
      <c r="AG79" s="15"/>
      <c r="AH79" s="15"/>
      <c r="AI79" s="15"/>
      <c r="AJ79" s="15"/>
      <c r="AK79" s="15"/>
      <c r="AL79" s="15"/>
      <c r="AM79" s="15"/>
      <c r="AN79" s="15"/>
      <c r="AO79" s="10"/>
    </row>
    <row r="80" spans="1:41" ht="19" thickBot="1" x14ac:dyDescent="0.25">
      <c r="B80" s="12"/>
      <c r="C80" s="13"/>
      <c r="D80" s="13"/>
      <c r="E80" s="13"/>
      <c r="F80" s="13"/>
      <c r="G80" s="13"/>
      <c r="H80" s="13"/>
      <c r="I80" s="13"/>
      <c r="J80" s="13"/>
      <c r="K80" s="14"/>
      <c r="L80" s="12"/>
      <c r="M80" s="13"/>
      <c r="N80" s="13"/>
      <c r="O80" s="13"/>
      <c r="P80" s="13"/>
      <c r="Q80" s="13"/>
      <c r="R80" s="13"/>
      <c r="S80" s="13"/>
      <c r="T80" s="13"/>
      <c r="U80" s="14"/>
      <c r="V80" s="12"/>
      <c r="W80" s="13"/>
      <c r="X80" s="13"/>
      <c r="Y80" s="13"/>
      <c r="Z80" s="13"/>
      <c r="AA80" s="13"/>
      <c r="AB80" s="13"/>
      <c r="AC80" s="13"/>
      <c r="AD80" s="13"/>
      <c r="AE80" s="14"/>
      <c r="AF80" s="12"/>
      <c r="AG80" s="13"/>
      <c r="AH80" s="13"/>
      <c r="AI80" s="13"/>
      <c r="AJ80" s="13"/>
      <c r="AK80" s="13"/>
      <c r="AL80" s="13"/>
      <c r="AM80" s="13"/>
      <c r="AN80" s="13"/>
      <c r="AO80" s="14"/>
    </row>
    <row r="82" spans="1:41" x14ac:dyDescent="0.2">
      <c r="A82" s="1" t="s">
        <v>56</v>
      </c>
    </row>
    <row r="84" spans="1:41" ht="21" thickBot="1" x14ac:dyDescent="0.25">
      <c r="A84" s="27" t="s">
        <v>8</v>
      </c>
    </row>
    <row r="85" spans="1:41" ht="19" thickBot="1" x14ac:dyDescent="0.25">
      <c r="A85" s="7"/>
      <c r="B85" s="136">
        <v>295</v>
      </c>
      <c r="C85" s="137"/>
      <c r="D85" s="137"/>
      <c r="E85" s="137"/>
      <c r="F85" s="137"/>
      <c r="G85" s="137"/>
      <c r="H85" s="137"/>
      <c r="I85" s="137"/>
      <c r="J85" s="137"/>
      <c r="K85" s="138"/>
      <c r="L85" s="136">
        <v>294</v>
      </c>
      <c r="M85" s="137"/>
      <c r="N85" s="137"/>
      <c r="O85" s="137"/>
      <c r="P85" s="137"/>
      <c r="Q85" s="137"/>
      <c r="R85" s="137"/>
      <c r="S85" s="137"/>
      <c r="T85" s="137"/>
      <c r="U85" s="138"/>
      <c r="V85" s="136">
        <v>290</v>
      </c>
      <c r="W85" s="137"/>
      <c r="X85" s="137"/>
      <c r="Y85" s="137"/>
      <c r="Z85" s="137"/>
      <c r="AA85" s="137"/>
      <c r="AB85" s="137"/>
      <c r="AC85" s="137"/>
      <c r="AD85" s="137"/>
      <c r="AE85" s="138"/>
      <c r="AF85" s="136">
        <v>289</v>
      </c>
      <c r="AG85" s="137"/>
      <c r="AH85" s="137"/>
      <c r="AI85" s="137"/>
      <c r="AJ85" s="137"/>
      <c r="AK85" s="137"/>
      <c r="AL85" s="137"/>
      <c r="AM85" s="137"/>
      <c r="AN85" s="137"/>
      <c r="AO85" s="138"/>
    </row>
    <row r="86" spans="1:41" ht="19" thickBot="1" x14ac:dyDescent="0.25">
      <c r="A86" s="7"/>
      <c r="B86" s="148" t="s">
        <v>15</v>
      </c>
      <c r="C86" s="149"/>
      <c r="D86" s="149"/>
      <c r="E86" s="149"/>
      <c r="F86" s="149"/>
      <c r="G86" s="149"/>
      <c r="H86" s="149"/>
      <c r="I86" s="149"/>
      <c r="J86" s="149"/>
      <c r="K86" s="150"/>
      <c r="L86" s="148" t="s">
        <v>27</v>
      </c>
      <c r="M86" s="149"/>
      <c r="N86" s="149"/>
      <c r="O86" s="149"/>
      <c r="P86" s="149"/>
      <c r="Q86" s="149"/>
      <c r="R86" s="149"/>
      <c r="S86" s="149"/>
      <c r="T86" s="149"/>
      <c r="U86" s="150"/>
      <c r="V86" s="148" t="s">
        <v>28</v>
      </c>
      <c r="W86" s="149"/>
      <c r="X86" s="149"/>
      <c r="Y86" s="149"/>
      <c r="Z86" s="149"/>
      <c r="AA86" s="149"/>
      <c r="AB86" s="149"/>
      <c r="AC86" s="149"/>
      <c r="AD86" s="149"/>
      <c r="AE86" s="150"/>
      <c r="AF86" s="148" t="s">
        <v>22</v>
      </c>
      <c r="AG86" s="149"/>
      <c r="AH86" s="149"/>
      <c r="AI86" s="149"/>
      <c r="AJ86" s="149"/>
      <c r="AK86" s="149"/>
      <c r="AL86" s="149"/>
      <c r="AM86" s="149"/>
      <c r="AN86" s="149"/>
      <c r="AO86" s="150"/>
    </row>
    <row r="87" spans="1:41" ht="19" x14ac:dyDescent="0.2">
      <c r="A87" s="8"/>
      <c r="B87" s="114">
        <v>217</v>
      </c>
      <c r="C87" s="115"/>
      <c r="D87" s="116">
        <v>218</v>
      </c>
      <c r="E87" s="117"/>
      <c r="F87" s="118">
        <v>219</v>
      </c>
      <c r="G87" s="117"/>
      <c r="H87" s="118">
        <v>220</v>
      </c>
      <c r="I87" s="117"/>
      <c r="J87" s="119">
        <v>221</v>
      </c>
      <c r="K87" s="120"/>
      <c r="L87" s="121">
        <v>212</v>
      </c>
      <c r="M87" s="122"/>
      <c r="N87" s="131">
        <v>213</v>
      </c>
      <c r="O87" s="130"/>
      <c r="P87" s="129">
        <v>214</v>
      </c>
      <c r="Q87" s="130"/>
      <c r="R87" s="129">
        <v>215</v>
      </c>
      <c r="S87" s="130"/>
      <c r="T87" s="123">
        <v>216</v>
      </c>
      <c r="U87" s="124"/>
      <c r="V87" s="125">
        <v>192</v>
      </c>
      <c r="W87" s="126"/>
      <c r="X87" s="127">
        <v>193</v>
      </c>
      <c r="Y87" s="128"/>
      <c r="Z87" s="151">
        <v>194</v>
      </c>
      <c r="AA87" s="128"/>
      <c r="AB87" s="151">
        <v>195</v>
      </c>
      <c r="AC87" s="128"/>
      <c r="AD87" s="112">
        <v>196</v>
      </c>
      <c r="AE87" s="113"/>
      <c r="AF87" s="145">
        <v>187</v>
      </c>
      <c r="AG87" s="146"/>
      <c r="AH87" s="147">
        <v>188</v>
      </c>
      <c r="AI87" s="133"/>
      <c r="AJ87" s="132">
        <v>189</v>
      </c>
      <c r="AK87" s="133"/>
      <c r="AL87" s="132">
        <v>190</v>
      </c>
      <c r="AM87" s="133"/>
      <c r="AN87" s="134">
        <v>191</v>
      </c>
      <c r="AO87" s="135"/>
    </row>
    <row r="88" spans="1:41" ht="20" thickBot="1" x14ac:dyDescent="0.25">
      <c r="A88" s="8"/>
      <c r="B88" s="16" t="s">
        <v>2</v>
      </c>
      <c r="C88" s="9" t="s">
        <v>3</v>
      </c>
      <c r="D88" s="9" t="s">
        <v>2</v>
      </c>
      <c r="E88" s="9" t="s">
        <v>3</v>
      </c>
      <c r="F88" s="9" t="s">
        <v>2</v>
      </c>
      <c r="G88" s="9" t="s">
        <v>3</v>
      </c>
      <c r="H88" s="9" t="s">
        <v>2</v>
      </c>
      <c r="I88" s="32" t="s">
        <v>3</v>
      </c>
      <c r="J88" s="33" t="s">
        <v>2</v>
      </c>
      <c r="K88" s="34" t="s">
        <v>3</v>
      </c>
      <c r="L88" s="35" t="s">
        <v>2</v>
      </c>
      <c r="M88" s="36" t="s">
        <v>3</v>
      </c>
      <c r="N88" s="36" t="s">
        <v>2</v>
      </c>
      <c r="O88" s="36" t="s">
        <v>3</v>
      </c>
      <c r="P88" s="36" t="s">
        <v>2</v>
      </c>
      <c r="Q88" s="36" t="s">
        <v>3</v>
      </c>
      <c r="R88" s="36" t="s">
        <v>2</v>
      </c>
      <c r="S88" s="37" t="s">
        <v>3</v>
      </c>
      <c r="T88" s="17" t="s">
        <v>2</v>
      </c>
      <c r="U88" s="18" t="s">
        <v>3</v>
      </c>
      <c r="V88" s="38" t="s">
        <v>2</v>
      </c>
      <c r="W88" s="39" t="s">
        <v>3</v>
      </c>
      <c r="X88" s="39" t="s">
        <v>2</v>
      </c>
      <c r="Y88" s="39" t="s">
        <v>3</v>
      </c>
      <c r="Z88" s="39" t="s">
        <v>2</v>
      </c>
      <c r="AA88" s="39" t="s">
        <v>3</v>
      </c>
      <c r="AB88" s="39" t="s">
        <v>2</v>
      </c>
      <c r="AC88" s="40" t="s">
        <v>3</v>
      </c>
      <c r="AD88" s="19" t="s">
        <v>2</v>
      </c>
      <c r="AE88" s="20" t="s">
        <v>3</v>
      </c>
      <c r="AF88" s="41" t="s">
        <v>2</v>
      </c>
      <c r="AG88" s="42" t="s">
        <v>3</v>
      </c>
      <c r="AH88" s="42" t="s">
        <v>2</v>
      </c>
      <c r="AI88" s="42" t="s">
        <v>3</v>
      </c>
      <c r="AJ88" s="42" t="s">
        <v>2</v>
      </c>
      <c r="AK88" s="42" t="s">
        <v>3</v>
      </c>
      <c r="AL88" s="42" t="s">
        <v>2</v>
      </c>
      <c r="AM88" s="43" t="s">
        <v>3</v>
      </c>
      <c r="AN88" s="21" t="s">
        <v>2</v>
      </c>
      <c r="AO88" s="44" t="s">
        <v>3</v>
      </c>
    </row>
    <row r="89" spans="1:41" ht="19" x14ac:dyDescent="0.2">
      <c r="A89" s="3" t="s">
        <v>16</v>
      </c>
      <c r="B89" s="11">
        <f t="shared" ref="B89:K89" si="43">B58/B$58</f>
        <v>1</v>
      </c>
      <c r="C89" s="46">
        <f t="shared" si="43"/>
        <v>1</v>
      </c>
      <c r="D89" s="46">
        <f t="shared" si="43"/>
        <v>1</v>
      </c>
      <c r="E89" s="46">
        <f t="shared" si="43"/>
        <v>1</v>
      </c>
      <c r="F89" s="46">
        <f t="shared" si="43"/>
        <v>1</v>
      </c>
      <c r="G89" s="46">
        <f t="shared" si="43"/>
        <v>1</v>
      </c>
      <c r="H89" s="46">
        <f t="shared" si="43"/>
        <v>1</v>
      </c>
      <c r="I89" s="46">
        <f t="shared" si="43"/>
        <v>1</v>
      </c>
      <c r="J89" s="47">
        <f t="shared" si="43"/>
        <v>1</v>
      </c>
      <c r="K89" s="48">
        <f t="shared" si="43"/>
        <v>1</v>
      </c>
      <c r="L89" s="45">
        <f t="shared" ref="L89:AO89" si="44">L58/L$58</f>
        <v>1</v>
      </c>
      <c r="M89" s="46">
        <f t="shared" si="44"/>
        <v>1</v>
      </c>
      <c r="N89" s="46">
        <f t="shared" si="44"/>
        <v>1</v>
      </c>
      <c r="O89" s="46">
        <f t="shared" si="44"/>
        <v>1</v>
      </c>
      <c r="P89" s="46">
        <f t="shared" si="44"/>
        <v>1</v>
      </c>
      <c r="Q89" s="46">
        <f t="shared" si="44"/>
        <v>1</v>
      </c>
      <c r="R89" s="46">
        <f t="shared" si="44"/>
        <v>1</v>
      </c>
      <c r="S89" s="46">
        <f t="shared" si="44"/>
        <v>1</v>
      </c>
      <c r="T89" s="47">
        <f t="shared" si="44"/>
        <v>1</v>
      </c>
      <c r="U89" s="48">
        <f t="shared" si="44"/>
        <v>1</v>
      </c>
      <c r="V89" s="45">
        <f t="shared" si="44"/>
        <v>1</v>
      </c>
      <c r="W89" s="46">
        <f t="shared" si="44"/>
        <v>1</v>
      </c>
      <c r="X89" s="46">
        <f t="shared" si="44"/>
        <v>1</v>
      </c>
      <c r="Y89" s="46">
        <f t="shared" si="44"/>
        <v>1</v>
      </c>
      <c r="Z89" s="46">
        <f t="shared" si="44"/>
        <v>1</v>
      </c>
      <c r="AA89" s="46">
        <f t="shared" si="44"/>
        <v>1</v>
      </c>
      <c r="AB89" s="46">
        <f t="shared" si="44"/>
        <v>1</v>
      </c>
      <c r="AC89" s="46">
        <f t="shared" si="44"/>
        <v>1</v>
      </c>
      <c r="AD89" s="47">
        <f t="shared" si="44"/>
        <v>1</v>
      </c>
      <c r="AE89" s="48">
        <f t="shared" si="44"/>
        <v>1</v>
      </c>
      <c r="AF89" s="45">
        <f t="shared" si="44"/>
        <v>1</v>
      </c>
      <c r="AG89" s="46">
        <f t="shared" si="44"/>
        <v>1</v>
      </c>
      <c r="AH89" s="46">
        <f t="shared" si="44"/>
        <v>1</v>
      </c>
      <c r="AI89" s="46">
        <f t="shared" si="44"/>
        <v>1</v>
      </c>
      <c r="AJ89" s="46">
        <f t="shared" si="44"/>
        <v>1</v>
      </c>
      <c r="AK89" s="46">
        <f t="shared" si="44"/>
        <v>1</v>
      </c>
      <c r="AL89" s="46">
        <f t="shared" si="44"/>
        <v>1</v>
      </c>
      <c r="AM89" s="46">
        <f t="shared" si="44"/>
        <v>1</v>
      </c>
      <c r="AN89" s="47">
        <f t="shared" si="44"/>
        <v>1</v>
      </c>
      <c r="AO89" s="48">
        <f t="shared" si="44"/>
        <v>1</v>
      </c>
    </row>
    <row r="90" spans="1:41" ht="19" x14ac:dyDescent="0.2">
      <c r="A90" s="1" t="s">
        <v>17</v>
      </c>
      <c r="B90" s="11">
        <f t="shared" ref="B90:K90" si="45">B59/B$58</f>
        <v>0.8936170212765957</v>
      </c>
      <c r="C90" s="46">
        <f t="shared" si="45"/>
        <v>0.86046511627906985</v>
      </c>
      <c r="D90" s="46">
        <f t="shared" si="45"/>
        <v>0.54761904761904756</v>
      </c>
      <c r="E90" s="46">
        <f t="shared" si="45"/>
        <v>0.7551020408163267</v>
      </c>
      <c r="F90" s="46">
        <f t="shared" si="45"/>
        <v>0.73417721518987344</v>
      </c>
      <c r="G90" s="46">
        <f t="shared" si="45"/>
        <v>0.72340425531914876</v>
      </c>
      <c r="H90" s="46">
        <f t="shared" si="45"/>
        <v>0.80555555555555569</v>
      </c>
      <c r="I90" s="46">
        <f t="shared" si="45"/>
        <v>0.71739130434782605</v>
      </c>
      <c r="J90" s="47">
        <f t="shared" si="45"/>
        <v>0.82352941176470595</v>
      </c>
      <c r="K90" s="48">
        <f t="shared" si="45"/>
        <v>0.76086956521739135</v>
      </c>
      <c r="L90" s="45">
        <f t="shared" ref="L90:AO90" si="46">L59/L$58</f>
        <v>0.73076923076923073</v>
      </c>
      <c r="M90" s="46">
        <f t="shared" si="46"/>
        <v>0.7191011235955056</v>
      </c>
      <c r="N90" s="46">
        <f t="shared" si="46"/>
        <v>0.78378378378378388</v>
      </c>
      <c r="O90" s="46">
        <f t="shared" si="46"/>
        <v>0.70000000000000007</v>
      </c>
      <c r="P90" s="46">
        <f t="shared" si="46"/>
        <v>0.88571428571428557</v>
      </c>
      <c r="Q90" s="46">
        <f t="shared" si="46"/>
        <v>0.74468085106382975</v>
      </c>
      <c r="R90" s="46">
        <f t="shared" si="46"/>
        <v>0.90697674418604646</v>
      </c>
      <c r="S90" s="46">
        <f t="shared" si="46"/>
        <v>0.81132075471698117</v>
      </c>
      <c r="T90" s="47">
        <f t="shared" si="46"/>
        <v>0.69444444444444453</v>
      </c>
      <c r="U90" s="48">
        <f t="shared" si="46"/>
        <v>0.83928571428571441</v>
      </c>
      <c r="V90" s="45">
        <f t="shared" si="46"/>
        <v>0.77999999999999992</v>
      </c>
      <c r="W90" s="46">
        <f t="shared" si="46"/>
        <v>0.72727272727272729</v>
      </c>
      <c r="X90" s="46">
        <f t="shared" si="46"/>
        <v>0.81249999999999989</v>
      </c>
      <c r="Y90" s="46">
        <f t="shared" si="46"/>
        <v>0.62295081967213117</v>
      </c>
      <c r="Z90" s="46">
        <f t="shared" si="46"/>
        <v>0.75471698113207553</v>
      </c>
      <c r="AA90" s="46">
        <f t="shared" si="46"/>
        <v>0.75862068965517238</v>
      </c>
      <c r="AB90" s="46">
        <f t="shared" si="46"/>
        <v>0.72916666666666674</v>
      </c>
      <c r="AC90" s="46">
        <f t="shared" si="46"/>
        <v>0.73584905660377353</v>
      </c>
      <c r="AD90" s="47">
        <f t="shared" si="46"/>
        <v>0.70967741935483886</v>
      </c>
      <c r="AE90" s="48">
        <f t="shared" si="46"/>
        <v>0.6923076923076924</v>
      </c>
      <c r="AF90" s="45">
        <f t="shared" si="46"/>
        <v>0.77142857142857135</v>
      </c>
      <c r="AG90" s="46">
        <f t="shared" si="46"/>
        <v>0.47826086956521741</v>
      </c>
      <c r="AH90" s="46">
        <f t="shared" si="46"/>
        <v>0.77777777777777779</v>
      </c>
      <c r="AI90" s="46">
        <f t="shared" si="46"/>
        <v>0.66666666666666674</v>
      </c>
      <c r="AJ90" s="46">
        <f t="shared" si="46"/>
        <v>0.76470588235294112</v>
      </c>
      <c r="AK90" s="46">
        <f t="shared" si="46"/>
        <v>0.71641791044776115</v>
      </c>
      <c r="AL90" s="46">
        <f t="shared" si="46"/>
        <v>0.81034482758620696</v>
      </c>
      <c r="AM90" s="46">
        <f t="shared" si="46"/>
        <v>0.6785714285714286</v>
      </c>
      <c r="AN90" s="47">
        <f t="shared" si="46"/>
        <v>0.67692307692307685</v>
      </c>
      <c r="AO90" s="48">
        <f t="shared" si="46"/>
        <v>0.79661016949152552</v>
      </c>
    </row>
    <row r="91" spans="1:41" ht="19" x14ac:dyDescent="0.2">
      <c r="A91" s="1" t="s">
        <v>18</v>
      </c>
      <c r="B91" s="11">
        <f t="shared" ref="B91:K91" si="47">B60/B$58</f>
        <v>0.70212765957446799</v>
      </c>
      <c r="C91" s="46">
        <f t="shared" si="47"/>
        <v>0.60465116279069764</v>
      </c>
      <c r="D91" s="46">
        <f t="shared" si="47"/>
        <v>0.45238095238095238</v>
      </c>
      <c r="E91" s="46">
        <f t="shared" si="47"/>
        <v>0.65306122448979598</v>
      </c>
      <c r="F91" s="46">
        <f t="shared" si="47"/>
        <v>0.65822784810126567</v>
      </c>
      <c r="G91" s="46">
        <f t="shared" si="47"/>
        <v>0.65957446808510634</v>
      </c>
      <c r="H91" s="46">
        <f t="shared" si="47"/>
        <v>0.69444444444444453</v>
      </c>
      <c r="I91" s="46">
        <f t="shared" si="47"/>
        <v>0.58695652173913049</v>
      </c>
      <c r="J91" s="47">
        <f t="shared" si="47"/>
        <v>0.6470588235294118</v>
      </c>
      <c r="K91" s="48">
        <f t="shared" si="47"/>
        <v>0.67391304347826086</v>
      </c>
      <c r="L91" s="45">
        <f t="shared" ref="L91:AO91" si="48">L60/L$58</f>
        <v>0.59615384615384603</v>
      </c>
      <c r="M91" s="46">
        <f t="shared" si="48"/>
        <v>0.6292134831460674</v>
      </c>
      <c r="N91" s="46">
        <f t="shared" si="48"/>
        <v>0.70270270270270252</v>
      </c>
      <c r="O91" s="46">
        <f t="shared" si="48"/>
        <v>0.6333333333333333</v>
      </c>
      <c r="P91" s="46">
        <f t="shared" si="48"/>
        <v>0.74285714285714277</v>
      </c>
      <c r="Q91" s="46">
        <f t="shared" si="48"/>
        <v>0.74468085106382975</v>
      </c>
      <c r="R91" s="46">
        <f t="shared" si="48"/>
        <v>0.79069767441860461</v>
      </c>
      <c r="S91" s="46">
        <f t="shared" si="48"/>
        <v>0.71698113207547165</v>
      </c>
      <c r="T91" s="47">
        <f t="shared" si="48"/>
        <v>0.61111111111111127</v>
      </c>
      <c r="U91" s="48">
        <f t="shared" si="48"/>
        <v>0.66071428571428581</v>
      </c>
      <c r="V91" s="45">
        <f t="shared" si="48"/>
        <v>0.77999999999999992</v>
      </c>
      <c r="W91" s="46">
        <f t="shared" si="48"/>
        <v>0.65454545454545443</v>
      </c>
      <c r="X91" s="46">
        <f t="shared" si="48"/>
        <v>0.77083333333333337</v>
      </c>
      <c r="Y91" s="46">
        <f t="shared" si="48"/>
        <v>0.7213114754098362</v>
      </c>
      <c r="Z91" s="46">
        <f t="shared" si="48"/>
        <v>0.67924528301886788</v>
      </c>
      <c r="AA91" s="46">
        <f t="shared" si="48"/>
        <v>0.72413793103448276</v>
      </c>
      <c r="AB91" s="46">
        <f t="shared" si="48"/>
        <v>0.81249999999999989</v>
      </c>
      <c r="AC91" s="46">
        <f t="shared" si="48"/>
        <v>0.7735849056603773</v>
      </c>
      <c r="AD91" s="47">
        <f t="shared" si="48"/>
        <v>0.80645161290322587</v>
      </c>
      <c r="AE91" s="48">
        <f t="shared" si="48"/>
        <v>0.80769230769230771</v>
      </c>
      <c r="AF91" s="45">
        <f t="shared" si="48"/>
        <v>0.7857142857142857</v>
      </c>
      <c r="AG91" s="46">
        <f t="shared" si="48"/>
        <v>0.50724637681159424</v>
      </c>
      <c r="AH91" s="46">
        <f t="shared" si="48"/>
        <v>0.97222222222222232</v>
      </c>
      <c r="AI91" s="46">
        <f t="shared" si="48"/>
        <v>0.81818181818181823</v>
      </c>
      <c r="AJ91" s="46">
        <f t="shared" si="48"/>
        <v>0.88235294117647067</v>
      </c>
      <c r="AK91" s="46">
        <f t="shared" si="48"/>
        <v>0.71641791044776115</v>
      </c>
      <c r="AL91" s="46">
        <f t="shared" si="48"/>
        <v>0.77586206896551724</v>
      </c>
      <c r="AM91" s="46">
        <f t="shared" si="48"/>
        <v>0.7321428571428571</v>
      </c>
      <c r="AN91" s="47">
        <f t="shared" si="48"/>
        <v>0.81538461538461537</v>
      </c>
      <c r="AO91" s="48">
        <f t="shared" si="48"/>
        <v>0.81355932203389836</v>
      </c>
    </row>
    <row r="92" spans="1:41" ht="19" x14ac:dyDescent="0.2">
      <c r="A92" s="1" t="s">
        <v>21</v>
      </c>
      <c r="B92" s="11">
        <f t="shared" ref="B92:K92" si="49">B61/B$58</f>
        <v>0.5106382978723405</v>
      </c>
      <c r="C92" s="46">
        <f t="shared" si="49"/>
        <v>0.69767441860465118</v>
      </c>
      <c r="D92" s="46">
        <f t="shared" si="49"/>
        <v>0.47619047619047616</v>
      </c>
      <c r="E92" s="46">
        <f t="shared" si="49"/>
        <v>0.61224489795918369</v>
      </c>
      <c r="F92" s="46">
        <f t="shared" si="49"/>
        <v>0.63291139240506322</v>
      </c>
      <c r="G92" s="46">
        <f t="shared" si="49"/>
        <v>0.5106382978723405</v>
      </c>
      <c r="H92" s="46">
        <f t="shared" si="49"/>
        <v>0.61111111111111127</v>
      </c>
      <c r="I92" s="46">
        <f t="shared" si="49"/>
        <v>0.56521739130434778</v>
      </c>
      <c r="J92" s="47">
        <f t="shared" si="49"/>
        <v>0.56862745098039225</v>
      </c>
      <c r="K92" s="48">
        <f t="shared" si="49"/>
        <v>0.60869565217391308</v>
      </c>
      <c r="L92" s="45">
        <f t="shared" ref="L92:AO92" si="50">L61/L$58</f>
        <v>0.59615384615384603</v>
      </c>
      <c r="M92" s="46">
        <f t="shared" si="50"/>
        <v>0.6292134831460674</v>
      </c>
      <c r="N92" s="46">
        <f t="shared" si="50"/>
        <v>0.67567567567567566</v>
      </c>
      <c r="O92" s="46">
        <f t="shared" si="50"/>
        <v>0.6</v>
      </c>
      <c r="P92" s="46">
        <f t="shared" si="50"/>
        <v>0.7142857142857143</v>
      </c>
      <c r="Q92" s="46">
        <f t="shared" si="50"/>
        <v>0.61702127659574468</v>
      </c>
      <c r="R92" s="46">
        <f t="shared" si="50"/>
        <v>0.72093023255813948</v>
      </c>
      <c r="S92" s="46">
        <f t="shared" si="50"/>
        <v>0.67924528301886788</v>
      </c>
      <c r="T92" s="47">
        <f t="shared" si="50"/>
        <v>0.61111111111111127</v>
      </c>
      <c r="U92" s="48">
        <f t="shared" si="50"/>
        <v>0.66071428571428581</v>
      </c>
      <c r="V92" s="45">
        <f t="shared" si="50"/>
        <v>0.67999999999999994</v>
      </c>
      <c r="W92" s="46">
        <f t="shared" si="50"/>
        <v>0.5636363636363636</v>
      </c>
      <c r="X92" s="46">
        <f t="shared" si="50"/>
        <v>0.64583333333333326</v>
      </c>
      <c r="Y92" s="46">
        <f t="shared" si="50"/>
        <v>0.65573770491803285</v>
      </c>
      <c r="Z92" s="46">
        <f t="shared" si="50"/>
        <v>0.62264150943396224</v>
      </c>
      <c r="AA92" s="46">
        <f t="shared" si="50"/>
        <v>0.68965517241379315</v>
      </c>
      <c r="AB92" s="46">
        <f t="shared" si="50"/>
        <v>0.75</v>
      </c>
      <c r="AC92" s="46">
        <f t="shared" si="50"/>
        <v>0.69811320754716988</v>
      </c>
      <c r="AD92" s="47">
        <f t="shared" si="50"/>
        <v>0.70967741935483886</v>
      </c>
      <c r="AE92" s="48">
        <f t="shared" si="50"/>
        <v>0.61538461538461542</v>
      </c>
      <c r="AF92" s="45">
        <f t="shared" si="50"/>
        <v>0.7</v>
      </c>
      <c r="AG92" s="46">
        <f t="shared" si="50"/>
        <v>0.3768115942028985</v>
      </c>
      <c r="AH92" s="46">
        <f t="shared" si="50"/>
        <v>0.83333333333333337</v>
      </c>
      <c r="AI92" s="46">
        <f t="shared" si="50"/>
        <v>0.7272727272727274</v>
      </c>
      <c r="AJ92" s="46">
        <f t="shared" si="50"/>
        <v>0.76470588235294112</v>
      </c>
      <c r="AK92" s="46">
        <f t="shared" si="50"/>
        <v>0.67164179104477606</v>
      </c>
      <c r="AL92" s="46">
        <f t="shared" si="50"/>
        <v>0.67241379310344818</v>
      </c>
      <c r="AM92" s="46">
        <f t="shared" si="50"/>
        <v>0.6785714285714286</v>
      </c>
      <c r="AN92" s="47">
        <f t="shared" si="50"/>
        <v>0.69230769230769229</v>
      </c>
      <c r="AO92" s="48">
        <f t="shared" si="50"/>
        <v>0.69491525423728817</v>
      </c>
    </row>
    <row r="93" spans="1:41" ht="19" x14ac:dyDescent="0.2">
      <c r="A93" s="1" t="s">
        <v>23</v>
      </c>
      <c r="B93" s="11">
        <f t="shared" ref="B93:K93" si="51">B62/B$58</f>
        <v>0.46808510638297873</v>
      </c>
      <c r="C93" s="46">
        <f t="shared" si="51"/>
        <v>0.53488372093023251</v>
      </c>
      <c r="D93" s="46">
        <f t="shared" si="51"/>
        <v>0.45238095238095238</v>
      </c>
      <c r="E93" s="46">
        <f t="shared" si="51"/>
        <v>0.57142857142857151</v>
      </c>
      <c r="F93" s="46">
        <f t="shared" si="51"/>
        <v>0.55696202531645567</v>
      </c>
      <c r="G93" s="46">
        <f t="shared" si="51"/>
        <v>0.5957446808510638</v>
      </c>
      <c r="H93" s="46">
        <f t="shared" si="51"/>
        <v>0.61111111111111127</v>
      </c>
      <c r="I93" s="46">
        <f t="shared" si="51"/>
        <v>0.56521739130434778</v>
      </c>
      <c r="J93" s="47">
        <f t="shared" si="51"/>
        <v>0.52941176470588247</v>
      </c>
      <c r="K93" s="48">
        <f t="shared" si="51"/>
        <v>0.58695652173913049</v>
      </c>
      <c r="L93" s="45">
        <f t="shared" ref="L93:AO93" si="52">L62/L$58</f>
        <v>0.51923076923076927</v>
      </c>
      <c r="M93" s="46">
        <f t="shared" si="52"/>
        <v>0.58426966292134819</v>
      </c>
      <c r="N93" s="46">
        <f t="shared" si="52"/>
        <v>0.62162162162162149</v>
      </c>
      <c r="O93" s="46">
        <f t="shared" si="52"/>
        <v>0.6</v>
      </c>
      <c r="P93" s="46">
        <f t="shared" si="52"/>
        <v>0.68571428571428583</v>
      </c>
      <c r="Q93" s="46">
        <f t="shared" si="52"/>
        <v>0.57446808510638303</v>
      </c>
      <c r="R93" s="46">
        <f t="shared" si="52"/>
        <v>0.67441860465116288</v>
      </c>
      <c r="S93" s="46">
        <f t="shared" si="52"/>
        <v>0.58490566037735847</v>
      </c>
      <c r="T93" s="47">
        <f t="shared" si="52"/>
        <v>0.55555555555555558</v>
      </c>
      <c r="U93" s="48">
        <f t="shared" si="52"/>
        <v>0.55357142857142849</v>
      </c>
      <c r="V93" s="45">
        <f t="shared" si="52"/>
        <v>0.7</v>
      </c>
      <c r="W93" s="46">
        <f t="shared" si="52"/>
        <v>0.6</v>
      </c>
      <c r="X93" s="46">
        <f t="shared" si="52"/>
        <v>0.70833333333333326</v>
      </c>
      <c r="Y93" s="46">
        <f t="shared" si="52"/>
        <v>0.75409836065573765</v>
      </c>
      <c r="Z93" s="46">
        <f t="shared" si="52"/>
        <v>0.71698113207547165</v>
      </c>
      <c r="AA93" s="46">
        <f t="shared" si="52"/>
        <v>0.75862068965517238</v>
      </c>
      <c r="AB93" s="46">
        <f t="shared" si="52"/>
        <v>0.81249999999999989</v>
      </c>
      <c r="AC93" s="46">
        <f t="shared" si="52"/>
        <v>0.71698113207547165</v>
      </c>
      <c r="AD93" s="47">
        <f t="shared" si="52"/>
        <v>0.77419354838709697</v>
      </c>
      <c r="AE93" s="48">
        <f t="shared" si="52"/>
        <v>0.73076923076923095</v>
      </c>
      <c r="AF93" s="45">
        <f t="shared" si="52"/>
        <v>0.75714285714285712</v>
      </c>
      <c r="AG93" s="46">
        <f t="shared" si="52"/>
        <v>0.42028985507246386</v>
      </c>
      <c r="AH93" s="46">
        <f t="shared" si="52"/>
        <v>0.97222222222222232</v>
      </c>
      <c r="AI93" s="46">
        <f t="shared" si="52"/>
        <v>0.75757575757575757</v>
      </c>
      <c r="AJ93" s="46">
        <f t="shared" si="52"/>
        <v>0.86274509803921562</v>
      </c>
      <c r="AK93" s="46">
        <f t="shared" si="52"/>
        <v>0.65671641791044766</v>
      </c>
      <c r="AL93" s="46">
        <f t="shared" si="52"/>
        <v>0.74137931034482762</v>
      </c>
      <c r="AM93" s="46">
        <f t="shared" si="52"/>
        <v>0.75000000000000011</v>
      </c>
      <c r="AN93" s="47">
        <f t="shared" si="52"/>
        <v>0.73846153846153839</v>
      </c>
      <c r="AO93" s="48">
        <f t="shared" si="52"/>
        <v>0.77966101694915257</v>
      </c>
    </row>
    <row r="94" spans="1:41" ht="19" x14ac:dyDescent="0.2">
      <c r="A94" s="1" t="s">
        <v>24</v>
      </c>
      <c r="B94" s="11">
        <f t="shared" ref="B94:K94" si="53">B63/B$58</f>
        <v>0.4893617021276595</v>
      </c>
      <c r="C94" s="46">
        <f t="shared" si="53"/>
        <v>0.53488372093023251</v>
      </c>
      <c r="D94" s="46">
        <f t="shared" si="53"/>
        <v>0.38095238095238093</v>
      </c>
      <c r="E94" s="46">
        <f t="shared" si="53"/>
        <v>0.57142857142857151</v>
      </c>
      <c r="F94" s="46">
        <f t="shared" si="53"/>
        <v>0.60759493670886078</v>
      </c>
      <c r="G94" s="46">
        <f t="shared" si="53"/>
        <v>0.63829787234042545</v>
      </c>
      <c r="H94" s="46">
        <f t="shared" si="53"/>
        <v>0.55555555555555558</v>
      </c>
      <c r="I94" s="46">
        <f t="shared" si="53"/>
        <v>0.58695652173913049</v>
      </c>
      <c r="J94" s="47">
        <f t="shared" si="53"/>
        <v>0.50980392156862742</v>
      </c>
      <c r="K94" s="48">
        <f t="shared" si="53"/>
        <v>0.56521739130434778</v>
      </c>
      <c r="L94" s="45">
        <f t="shared" ref="L94:AO94" si="54">L63/L$58</f>
        <v>0.57692307692307687</v>
      </c>
      <c r="M94" s="46">
        <f t="shared" si="54"/>
        <v>0.56179775280898869</v>
      </c>
      <c r="N94" s="46">
        <f t="shared" si="54"/>
        <v>0.59459459459459463</v>
      </c>
      <c r="O94" s="46">
        <f t="shared" si="54"/>
        <v>0.53333333333333333</v>
      </c>
      <c r="P94" s="46">
        <f t="shared" si="54"/>
        <v>0.65714285714285714</v>
      </c>
      <c r="Q94" s="46">
        <f t="shared" si="54"/>
        <v>0.65957446808510634</v>
      </c>
      <c r="R94" s="46">
        <f t="shared" si="54"/>
        <v>0.65116279069767435</v>
      </c>
      <c r="S94" s="46">
        <f t="shared" si="54"/>
        <v>0.56603773584905659</v>
      </c>
      <c r="T94" s="47">
        <f t="shared" si="54"/>
        <v>0.47222222222222227</v>
      </c>
      <c r="U94" s="48">
        <f t="shared" si="54"/>
        <v>0.55357142857142849</v>
      </c>
      <c r="V94" s="45">
        <f t="shared" si="54"/>
        <v>0.58000000000000007</v>
      </c>
      <c r="W94" s="46">
        <f t="shared" si="54"/>
        <v>0.50909090909090904</v>
      </c>
      <c r="X94" s="46">
        <f t="shared" si="54"/>
        <v>0.60416666666666674</v>
      </c>
      <c r="Y94" s="46">
        <f t="shared" si="54"/>
        <v>0.65573770491803285</v>
      </c>
      <c r="Z94" s="46">
        <f t="shared" si="54"/>
        <v>0.62264150943396224</v>
      </c>
      <c r="AA94" s="46">
        <f t="shared" si="54"/>
        <v>0.65517241379310343</v>
      </c>
      <c r="AB94" s="46">
        <f t="shared" si="54"/>
        <v>0.70833333333333326</v>
      </c>
      <c r="AC94" s="46">
        <f t="shared" si="54"/>
        <v>0.64150943396226412</v>
      </c>
      <c r="AD94" s="47">
        <f t="shared" si="54"/>
        <v>0.74193548387096775</v>
      </c>
      <c r="AE94" s="48">
        <f t="shared" si="54"/>
        <v>0.65384615384615397</v>
      </c>
      <c r="AF94" s="45">
        <f t="shared" si="54"/>
        <v>0.7</v>
      </c>
      <c r="AG94" s="46">
        <f t="shared" si="54"/>
        <v>0.3768115942028985</v>
      </c>
      <c r="AH94" s="46">
        <f t="shared" si="54"/>
        <v>0.83333333333333337</v>
      </c>
      <c r="AI94" s="46">
        <f t="shared" si="54"/>
        <v>0.69696969696969691</v>
      </c>
      <c r="AJ94" s="46">
        <f t="shared" si="54"/>
        <v>0.74509803921568629</v>
      </c>
      <c r="AK94" s="46">
        <f t="shared" si="54"/>
        <v>0.58208955223880587</v>
      </c>
      <c r="AL94" s="46">
        <f t="shared" si="54"/>
        <v>0.67241379310344818</v>
      </c>
      <c r="AM94" s="46">
        <f t="shared" si="54"/>
        <v>0.7142857142857143</v>
      </c>
      <c r="AN94" s="47">
        <f t="shared" si="54"/>
        <v>0.61538461538461542</v>
      </c>
      <c r="AO94" s="48">
        <f t="shared" si="54"/>
        <v>0.67796610169491534</v>
      </c>
    </row>
    <row r="95" spans="1:41" ht="19" x14ac:dyDescent="0.2">
      <c r="A95" s="1" t="s">
        <v>25</v>
      </c>
      <c r="B95" s="11">
        <f t="shared" ref="B95:K95" si="55">B64/B$58</f>
        <v>0.42553191489361702</v>
      </c>
      <c r="C95" s="46">
        <f t="shared" si="55"/>
        <v>0.48837209302325574</v>
      </c>
      <c r="D95" s="46">
        <f t="shared" si="55"/>
        <v>0.30952380952380953</v>
      </c>
      <c r="E95" s="46">
        <f t="shared" si="55"/>
        <v>0.57142857142857151</v>
      </c>
      <c r="F95" s="46">
        <f t="shared" si="55"/>
        <v>0.55696202531645567</v>
      </c>
      <c r="G95" s="46">
        <f t="shared" si="55"/>
        <v>0.57446808510638303</v>
      </c>
      <c r="H95" s="46">
        <f t="shared" si="55"/>
        <v>0.5277777777777779</v>
      </c>
      <c r="I95" s="46">
        <f t="shared" si="55"/>
        <v>0.52173913043478271</v>
      </c>
      <c r="J95" s="47">
        <f t="shared" si="55"/>
        <v>0.47058823529411775</v>
      </c>
      <c r="K95" s="48">
        <f t="shared" si="55"/>
        <v>0.5</v>
      </c>
      <c r="L95" s="45">
        <f t="shared" ref="L95:AO95" si="56">L64/L$58</f>
        <v>0.44230769230769224</v>
      </c>
      <c r="M95" s="46">
        <f t="shared" si="56"/>
        <v>0.56179775280898869</v>
      </c>
      <c r="N95" s="46">
        <f t="shared" si="56"/>
        <v>0.51351351351351349</v>
      </c>
      <c r="O95" s="46">
        <f t="shared" si="56"/>
        <v>0.46666666666666662</v>
      </c>
      <c r="P95" s="46">
        <f t="shared" si="56"/>
        <v>0.48571428571428571</v>
      </c>
      <c r="Q95" s="46">
        <f t="shared" si="56"/>
        <v>0.55319148936170204</v>
      </c>
      <c r="R95" s="46">
        <f t="shared" si="56"/>
        <v>0.55813953488372103</v>
      </c>
      <c r="S95" s="46">
        <f t="shared" si="56"/>
        <v>0.56603773584905659</v>
      </c>
      <c r="T95" s="47">
        <f t="shared" si="56"/>
        <v>0.4166666666666668</v>
      </c>
      <c r="U95" s="48">
        <f t="shared" si="56"/>
        <v>0.5178571428571429</v>
      </c>
      <c r="V95" s="45">
        <f t="shared" si="56"/>
        <v>0.61999999999999988</v>
      </c>
      <c r="W95" s="46">
        <f t="shared" si="56"/>
        <v>0.54545454545454541</v>
      </c>
      <c r="X95" s="46">
        <f t="shared" si="56"/>
        <v>0.625</v>
      </c>
      <c r="Y95" s="46">
        <f t="shared" si="56"/>
        <v>0.6885245901639343</v>
      </c>
      <c r="Z95" s="46">
        <f t="shared" si="56"/>
        <v>0.71698113207547165</v>
      </c>
      <c r="AA95" s="46">
        <f t="shared" si="56"/>
        <v>0.7068965517241379</v>
      </c>
      <c r="AB95" s="46">
        <f t="shared" si="56"/>
        <v>0.81249999999999989</v>
      </c>
      <c r="AC95" s="46">
        <f t="shared" si="56"/>
        <v>0.66037735849056611</v>
      </c>
      <c r="AD95" s="47">
        <f t="shared" si="56"/>
        <v>0.74193548387096775</v>
      </c>
      <c r="AE95" s="48">
        <f t="shared" si="56"/>
        <v>0.6923076923076924</v>
      </c>
      <c r="AF95" s="45">
        <f t="shared" si="56"/>
        <v>0.74285714285714288</v>
      </c>
      <c r="AG95" s="46">
        <f t="shared" si="56"/>
        <v>0.39130434782608703</v>
      </c>
      <c r="AH95" s="46">
        <f t="shared" si="56"/>
        <v>0.88888888888888906</v>
      </c>
      <c r="AI95" s="46">
        <f t="shared" si="56"/>
        <v>0.63636363636363624</v>
      </c>
      <c r="AJ95" s="46">
        <f t="shared" si="56"/>
        <v>0.80392156862745101</v>
      </c>
      <c r="AK95" s="46">
        <f t="shared" si="56"/>
        <v>0.65671641791044766</v>
      </c>
      <c r="AL95" s="46">
        <f t="shared" si="56"/>
        <v>0.75862068965517238</v>
      </c>
      <c r="AM95" s="46">
        <f t="shared" si="56"/>
        <v>0.7678571428571429</v>
      </c>
      <c r="AN95" s="47">
        <f t="shared" si="56"/>
        <v>0.69230769230769229</v>
      </c>
      <c r="AO95" s="48">
        <f t="shared" si="56"/>
        <v>0.76271186440677974</v>
      </c>
    </row>
    <row r="96" spans="1:41" ht="19" x14ac:dyDescent="0.2">
      <c r="A96" s="1" t="s">
        <v>26</v>
      </c>
      <c r="B96" s="11">
        <f t="shared" ref="B96:K96" si="57">B65/B$58</f>
        <v>0.46808510638297873</v>
      </c>
      <c r="C96" s="46">
        <f t="shared" si="57"/>
        <v>0.46511627906976744</v>
      </c>
      <c r="D96" s="46">
        <f t="shared" si="57"/>
        <v>0.33333333333333337</v>
      </c>
      <c r="E96" s="46">
        <f t="shared" si="57"/>
        <v>0.48979591836734704</v>
      </c>
      <c r="F96" s="46">
        <f t="shared" si="57"/>
        <v>0.58227848101265811</v>
      </c>
      <c r="G96" s="46">
        <f t="shared" si="57"/>
        <v>0.57446808510638303</v>
      </c>
      <c r="H96" s="46">
        <f t="shared" si="57"/>
        <v>0.50000000000000011</v>
      </c>
      <c r="I96" s="46">
        <f t="shared" si="57"/>
        <v>0.56521739130434778</v>
      </c>
      <c r="J96" s="47">
        <f t="shared" si="57"/>
        <v>0.47058823529411775</v>
      </c>
      <c r="K96" s="48">
        <f t="shared" si="57"/>
        <v>0.5434782608695653</v>
      </c>
      <c r="L96" s="45">
        <f t="shared" ref="L96:AO96" si="58">L65/L$58</f>
        <v>0.48076923076923073</v>
      </c>
      <c r="M96" s="46">
        <f t="shared" si="58"/>
        <v>0.53932584269662931</v>
      </c>
      <c r="N96" s="46">
        <f t="shared" si="58"/>
        <v>0.54054054054054046</v>
      </c>
      <c r="O96" s="46">
        <f t="shared" si="58"/>
        <v>0.54999999999999993</v>
      </c>
      <c r="P96" s="46">
        <f t="shared" si="58"/>
        <v>0.5714285714285714</v>
      </c>
      <c r="Q96" s="46">
        <f t="shared" si="58"/>
        <v>0.55319148936170204</v>
      </c>
      <c r="R96" s="46">
        <f t="shared" si="58"/>
        <v>0.55813953488372103</v>
      </c>
      <c r="S96" s="46">
        <f t="shared" si="58"/>
        <v>0.56603773584905659</v>
      </c>
      <c r="T96" s="47">
        <f t="shared" si="58"/>
        <v>0.4166666666666668</v>
      </c>
      <c r="U96" s="48">
        <f t="shared" si="58"/>
        <v>0.48214285714285721</v>
      </c>
      <c r="V96" s="45">
        <f t="shared" si="58"/>
        <v>0.54</v>
      </c>
      <c r="W96" s="46">
        <f t="shared" si="58"/>
        <v>0.43636363636363645</v>
      </c>
      <c r="X96" s="46">
        <f t="shared" si="58"/>
        <v>0.54166666666666663</v>
      </c>
      <c r="Y96" s="46">
        <f t="shared" si="58"/>
        <v>0.65573770491803285</v>
      </c>
      <c r="Z96" s="46">
        <f t="shared" si="58"/>
        <v>0.64150943396226412</v>
      </c>
      <c r="AA96" s="46">
        <f t="shared" si="58"/>
        <v>0.67241379310344818</v>
      </c>
      <c r="AB96" s="46">
        <f t="shared" si="58"/>
        <v>0.77083333333333337</v>
      </c>
      <c r="AC96" s="46">
        <f t="shared" si="58"/>
        <v>0.64150943396226412</v>
      </c>
      <c r="AD96" s="47">
        <f t="shared" si="58"/>
        <v>0.67741935483870963</v>
      </c>
      <c r="AE96" s="48">
        <f t="shared" si="58"/>
        <v>0.53846153846153855</v>
      </c>
      <c r="AF96" s="45">
        <f t="shared" si="58"/>
        <v>0.7</v>
      </c>
      <c r="AG96" s="46">
        <f t="shared" si="58"/>
        <v>0.39130434782608703</v>
      </c>
      <c r="AH96" s="46">
        <f t="shared" si="58"/>
        <v>0.83333333333333337</v>
      </c>
      <c r="AI96" s="46">
        <f t="shared" si="58"/>
        <v>0.60606060606060608</v>
      </c>
      <c r="AJ96" s="46">
        <f t="shared" si="58"/>
        <v>0.74509803921568629</v>
      </c>
      <c r="AK96" s="46">
        <f t="shared" si="58"/>
        <v>0.62686567164179108</v>
      </c>
      <c r="AL96" s="46">
        <f t="shared" si="58"/>
        <v>0.67241379310344818</v>
      </c>
      <c r="AM96" s="46">
        <f t="shared" si="58"/>
        <v>0.6964285714285714</v>
      </c>
      <c r="AN96" s="47">
        <f t="shared" si="58"/>
        <v>0.59999999999999987</v>
      </c>
      <c r="AO96" s="48">
        <f t="shared" si="58"/>
        <v>0.69491525423728817</v>
      </c>
    </row>
    <row r="97" spans="1:41" ht="19" x14ac:dyDescent="0.2">
      <c r="A97" s="1" t="s">
        <v>33</v>
      </c>
      <c r="B97" s="11">
        <f t="shared" ref="B97:K97" si="59">B66/B$58</f>
        <v>0.50638297872340421</v>
      </c>
      <c r="C97" s="46">
        <f t="shared" si="59"/>
        <v>0.42558139534883721</v>
      </c>
      <c r="D97" s="46">
        <f t="shared" si="59"/>
        <v>0.33095238095238094</v>
      </c>
      <c r="E97" s="46">
        <f t="shared" si="59"/>
        <v>0.62040816326530623</v>
      </c>
      <c r="F97" s="46">
        <f t="shared" si="59"/>
        <v>0.54177215189873407</v>
      </c>
      <c r="G97" s="46">
        <f t="shared" si="59"/>
        <v>0.60000000000000009</v>
      </c>
      <c r="H97" s="46">
        <f t="shared" si="59"/>
        <v>0.5083333333333333</v>
      </c>
      <c r="I97" s="46">
        <f t="shared" si="59"/>
        <v>0.54130434782608705</v>
      </c>
      <c r="J97" s="47">
        <f t="shared" si="59"/>
        <v>0.48823529411764716</v>
      </c>
      <c r="K97" s="48">
        <f t="shared" si="59"/>
        <v>0.54130434782608705</v>
      </c>
      <c r="L97" s="45">
        <f t="shared" ref="L97:AO97" si="60">L66/L$58</f>
        <v>0.62692307692307681</v>
      </c>
      <c r="M97" s="46">
        <f t="shared" si="60"/>
        <v>0.68314606741573036</v>
      </c>
      <c r="N97" s="46">
        <f t="shared" si="60"/>
        <v>0.64324324324324322</v>
      </c>
      <c r="O97" s="46">
        <f t="shared" si="60"/>
        <v>0.6166666666666667</v>
      </c>
      <c r="P97" s="46">
        <f t="shared" si="60"/>
        <v>0.61714285714285722</v>
      </c>
      <c r="Q97" s="46">
        <f t="shared" si="60"/>
        <v>0.74042553191489346</v>
      </c>
      <c r="R97" s="46">
        <f t="shared" si="60"/>
        <v>0.75813953488372088</v>
      </c>
      <c r="S97" s="46">
        <f t="shared" si="60"/>
        <v>0.6773584905660377</v>
      </c>
      <c r="T97" s="47">
        <f t="shared" si="60"/>
        <v>0.4777777777777778</v>
      </c>
      <c r="U97" s="48">
        <f t="shared" si="60"/>
        <v>0.60178571428571437</v>
      </c>
      <c r="V97" s="45">
        <f t="shared" si="60"/>
        <v>0.58599999999999997</v>
      </c>
      <c r="W97" s="46">
        <f t="shared" si="60"/>
        <v>0.49272727272727274</v>
      </c>
      <c r="X97" s="46">
        <f t="shared" si="60"/>
        <v>0.58750000000000013</v>
      </c>
      <c r="Y97" s="46">
        <f t="shared" si="60"/>
        <v>0.52786885245901649</v>
      </c>
      <c r="Z97" s="46">
        <f t="shared" si="60"/>
        <v>0.71886792452830184</v>
      </c>
      <c r="AA97" s="46">
        <f t="shared" si="60"/>
        <v>0.78965517241379313</v>
      </c>
      <c r="AB97" s="46">
        <f t="shared" si="60"/>
        <v>0.81666666666666665</v>
      </c>
      <c r="AC97" s="46">
        <f t="shared" si="60"/>
        <v>0.65660377358490563</v>
      </c>
      <c r="AD97" s="47">
        <f t="shared" si="60"/>
        <v>0.69677419354838721</v>
      </c>
      <c r="AE97" s="48">
        <f t="shared" si="60"/>
        <v>0.40769230769230774</v>
      </c>
      <c r="AF97" s="45">
        <f t="shared" si="60"/>
        <v>0.82714285714285718</v>
      </c>
      <c r="AG97" s="46">
        <f t="shared" si="60"/>
        <v>0.52028985507246384</v>
      </c>
      <c r="AH97" s="46">
        <f t="shared" si="60"/>
        <v>1.088888888888889</v>
      </c>
      <c r="AI97" s="46">
        <f t="shared" si="60"/>
        <v>0.68787878787878809</v>
      </c>
      <c r="AJ97" s="46">
        <f t="shared" si="60"/>
        <v>0.94117647058823528</v>
      </c>
      <c r="AK97" s="46">
        <f t="shared" si="60"/>
        <v>0.76567164179104474</v>
      </c>
      <c r="AL97" s="46">
        <f t="shared" si="60"/>
        <v>0.96034482758620687</v>
      </c>
      <c r="AM97" s="46">
        <f t="shared" si="60"/>
        <v>0.89642857142857146</v>
      </c>
      <c r="AN97" s="47">
        <f t="shared" si="60"/>
        <v>0.77230769230769225</v>
      </c>
      <c r="AO97" s="48">
        <f t="shared" si="60"/>
        <v>0.90677966101694918</v>
      </c>
    </row>
    <row r="98" spans="1:41" ht="19" x14ac:dyDescent="0.2">
      <c r="A98" s="1" t="s">
        <v>34</v>
      </c>
      <c r="B98" s="11">
        <f t="shared" ref="B98:K98" si="61">B67/B$58</f>
        <v>0.4042553191489362</v>
      </c>
      <c r="C98" s="46">
        <f t="shared" si="61"/>
        <v>0.39534883720930231</v>
      </c>
      <c r="D98" s="46">
        <f t="shared" si="61"/>
        <v>0.30952380952380953</v>
      </c>
      <c r="E98" s="46">
        <f t="shared" si="61"/>
        <v>0.46938775510204084</v>
      </c>
      <c r="F98" s="46">
        <f t="shared" si="61"/>
        <v>0.45569620253164556</v>
      </c>
      <c r="G98" s="46">
        <f t="shared" si="61"/>
        <v>0.55319148936170204</v>
      </c>
      <c r="H98" s="46">
        <f t="shared" si="61"/>
        <v>0.38888888888888895</v>
      </c>
      <c r="I98" s="46">
        <f t="shared" si="61"/>
        <v>0.45652173913043476</v>
      </c>
      <c r="J98" s="47">
        <f t="shared" si="61"/>
        <v>0.47058823529411775</v>
      </c>
      <c r="K98" s="48">
        <f t="shared" si="61"/>
        <v>0.47826086956521746</v>
      </c>
      <c r="L98" s="45">
        <f t="shared" ref="L98:U98" si="62">L67/L$58</f>
        <v>0.46153846153846156</v>
      </c>
      <c r="M98" s="46">
        <f t="shared" si="62"/>
        <v>0.49438202247191015</v>
      </c>
      <c r="N98" s="46">
        <f t="shared" si="62"/>
        <v>0.45945945945945943</v>
      </c>
      <c r="O98" s="46">
        <f t="shared" si="62"/>
        <v>0.46666666666666662</v>
      </c>
      <c r="P98" s="46">
        <f t="shared" si="62"/>
        <v>0.5714285714285714</v>
      </c>
      <c r="Q98" s="46">
        <f t="shared" si="62"/>
        <v>0.4893617021276595</v>
      </c>
      <c r="R98" s="46">
        <f t="shared" si="62"/>
        <v>0.58139534883720934</v>
      </c>
      <c r="S98" s="46">
        <f t="shared" si="62"/>
        <v>0.56603773584905659</v>
      </c>
      <c r="T98" s="47">
        <f t="shared" si="62"/>
        <v>0.4166666666666668</v>
      </c>
      <c r="U98" s="48">
        <f t="shared" si="62"/>
        <v>0.5178571428571429</v>
      </c>
      <c r="V98" s="45">
        <f t="shared" ref="V98:AO98" si="63">V67/V$58</f>
        <v>0.5</v>
      </c>
      <c r="W98" s="46">
        <f t="shared" si="63"/>
        <v>0.43636363636363645</v>
      </c>
      <c r="X98" s="46">
        <f t="shared" si="63"/>
        <v>0.52083333333333337</v>
      </c>
      <c r="Y98" s="46">
        <f t="shared" si="63"/>
        <v>0.52459016393442626</v>
      </c>
      <c r="Z98" s="46">
        <f t="shared" si="63"/>
        <v>0.54716981132075482</v>
      </c>
      <c r="AA98" s="46">
        <f t="shared" si="63"/>
        <v>0.60344827586206895</v>
      </c>
      <c r="AB98" s="46">
        <f t="shared" si="63"/>
        <v>0.66666666666666674</v>
      </c>
      <c r="AC98" s="46">
        <f t="shared" si="63"/>
        <v>0.52830188679245282</v>
      </c>
      <c r="AD98" s="47">
        <f t="shared" si="63"/>
        <v>0.54838709677419362</v>
      </c>
      <c r="AE98" s="48">
        <f t="shared" si="63"/>
        <v>0.30769230769230776</v>
      </c>
      <c r="AF98" s="45">
        <f t="shared" si="63"/>
        <v>0.68571428571428572</v>
      </c>
      <c r="AG98" s="46">
        <f t="shared" si="63"/>
        <v>0.3768115942028985</v>
      </c>
      <c r="AH98" s="46">
        <f t="shared" si="63"/>
        <v>0.86111111111111105</v>
      </c>
      <c r="AI98" s="46">
        <f t="shared" si="63"/>
        <v>0.60606060606060608</v>
      </c>
      <c r="AJ98" s="46">
        <f t="shared" si="63"/>
        <v>0.74509803921568629</v>
      </c>
      <c r="AK98" s="46">
        <f t="shared" si="63"/>
        <v>0.56716417910447758</v>
      </c>
      <c r="AL98" s="46">
        <f t="shared" si="63"/>
        <v>0.67241379310344818</v>
      </c>
      <c r="AM98" s="46">
        <f t="shared" si="63"/>
        <v>0.6964285714285714</v>
      </c>
      <c r="AN98" s="47">
        <f t="shared" si="63"/>
        <v>0.64615384615384619</v>
      </c>
      <c r="AO98" s="48">
        <f t="shared" si="63"/>
        <v>0.71186440677966112</v>
      </c>
    </row>
    <row r="99" spans="1:41" ht="19" x14ac:dyDescent="0.2">
      <c r="A99" s="1" t="s">
        <v>35</v>
      </c>
      <c r="B99" s="11">
        <f t="shared" ref="B99:K99" si="64">B68/B$58</f>
        <v>0.4042553191489362</v>
      </c>
      <c r="C99" s="46">
        <f t="shared" si="64"/>
        <v>0.44186046511627913</v>
      </c>
      <c r="D99" s="46">
        <f t="shared" si="64"/>
        <v>0.26190476190476192</v>
      </c>
      <c r="E99" s="46">
        <f t="shared" si="64"/>
        <v>0.48979591836734704</v>
      </c>
      <c r="F99" s="46">
        <f t="shared" si="64"/>
        <v>0.60759493670886078</v>
      </c>
      <c r="G99" s="46">
        <f t="shared" si="64"/>
        <v>0.57446808510638303</v>
      </c>
      <c r="H99" s="46">
        <f t="shared" si="64"/>
        <v>0.36111111111111116</v>
      </c>
      <c r="I99" s="46">
        <f t="shared" si="64"/>
        <v>0.47826086956521746</v>
      </c>
      <c r="J99" s="47">
        <f t="shared" si="64"/>
        <v>0.43137254901960792</v>
      </c>
      <c r="K99" s="48">
        <f t="shared" si="64"/>
        <v>0.5</v>
      </c>
      <c r="L99" s="45">
        <f t="shared" ref="L99:U99" si="65">L68/L$58</f>
        <v>0.55769230769230771</v>
      </c>
      <c r="M99" s="46">
        <f t="shared" si="65"/>
        <v>0.6741573033707865</v>
      </c>
      <c r="N99" s="46">
        <f t="shared" si="65"/>
        <v>0.56756756756756743</v>
      </c>
      <c r="O99" s="46">
        <f t="shared" si="65"/>
        <v>0.58333333333333337</v>
      </c>
      <c r="P99" s="46">
        <f t="shared" si="65"/>
        <v>0.59999999999999987</v>
      </c>
      <c r="Q99" s="46">
        <f t="shared" si="65"/>
        <v>0.61702127659574468</v>
      </c>
      <c r="R99" s="46">
        <f t="shared" si="65"/>
        <v>0.67441860465116288</v>
      </c>
      <c r="S99" s="46">
        <f t="shared" si="65"/>
        <v>0.64150943396226412</v>
      </c>
      <c r="T99" s="47">
        <f t="shared" si="65"/>
        <v>0.5277777777777779</v>
      </c>
      <c r="U99" s="48">
        <f t="shared" si="65"/>
        <v>0.57142857142857151</v>
      </c>
      <c r="V99" s="45">
        <f t="shared" ref="V99:AO99" si="66">V68/V$58</f>
        <v>0.48000000000000009</v>
      </c>
      <c r="W99" s="46">
        <f t="shared" si="66"/>
        <v>0.41818181818181815</v>
      </c>
      <c r="X99" s="46">
        <f t="shared" si="66"/>
        <v>0.54166666666666663</v>
      </c>
      <c r="Y99" s="46">
        <f t="shared" si="66"/>
        <v>0.45901639344262302</v>
      </c>
      <c r="Z99" s="46">
        <f t="shared" si="66"/>
        <v>0.54716981132075482</v>
      </c>
      <c r="AA99" s="46">
        <f t="shared" si="66"/>
        <v>0.6206896551724137</v>
      </c>
      <c r="AB99" s="46">
        <f t="shared" si="66"/>
        <v>0.72916666666666674</v>
      </c>
      <c r="AC99" s="46">
        <f t="shared" si="66"/>
        <v>0.54716981132075482</v>
      </c>
      <c r="AD99" s="47">
        <f t="shared" si="66"/>
        <v>0.54838709677419362</v>
      </c>
      <c r="AE99" s="48">
        <f t="shared" si="66"/>
        <v>0.30769230769230776</v>
      </c>
      <c r="AF99" s="45">
        <f t="shared" si="66"/>
        <v>0.81428571428571428</v>
      </c>
      <c r="AG99" s="46">
        <f t="shared" si="66"/>
        <v>0.46376811594202905</v>
      </c>
      <c r="AH99" s="46">
        <f t="shared" si="66"/>
        <v>0.97222222222222232</v>
      </c>
      <c r="AI99" s="46">
        <f t="shared" si="66"/>
        <v>0.63636363636363624</v>
      </c>
      <c r="AJ99" s="46">
        <f t="shared" si="66"/>
        <v>0.88235294117647067</v>
      </c>
      <c r="AK99" s="46">
        <f t="shared" si="66"/>
        <v>0.70149253731343286</v>
      </c>
      <c r="AL99" s="46">
        <f t="shared" si="66"/>
        <v>0.75862068965517238</v>
      </c>
      <c r="AM99" s="46">
        <f t="shared" si="66"/>
        <v>0.8214285714285714</v>
      </c>
      <c r="AN99" s="47">
        <f t="shared" si="66"/>
        <v>0.72307692307692306</v>
      </c>
      <c r="AO99" s="48">
        <f t="shared" si="66"/>
        <v>0.83050847457627119</v>
      </c>
    </row>
    <row r="100" spans="1:41" ht="19" x14ac:dyDescent="0.2">
      <c r="A100" s="1" t="s">
        <v>40</v>
      </c>
      <c r="B100" s="11">
        <f t="shared" ref="B100:K100" si="67">B69/B$58</f>
        <v>0.46808510638297873</v>
      </c>
      <c r="C100" s="46">
        <f t="shared" si="67"/>
        <v>0.48837209302325574</v>
      </c>
      <c r="D100" s="46">
        <f t="shared" si="67"/>
        <v>0.2142857142857143</v>
      </c>
      <c r="E100" s="46">
        <f t="shared" si="67"/>
        <v>0.51020408163265307</v>
      </c>
      <c r="F100" s="46">
        <f t="shared" si="67"/>
        <v>0.531645569620253</v>
      </c>
      <c r="G100" s="46">
        <f t="shared" si="67"/>
        <v>0.5957446808510638</v>
      </c>
      <c r="H100" s="46">
        <f t="shared" si="67"/>
        <v>0.33333333333333337</v>
      </c>
      <c r="I100" s="46">
        <f t="shared" si="67"/>
        <v>0.5</v>
      </c>
      <c r="J100" s="47">
        <f t="shared" si="67"/>
        <v>0.45098039215686275</v>
      </c>
      <c r="K100" s="48">
        <f t="shared" si="67"/>
        <v>0.5434782608695653</v>
      </c>
      <c r="L100" s="45">
        <f t="shared" ref="L100:U100" si="68">L69/L$58</f>
        <v>0.51923076923076927</v>
      </c>
      <c r="M100" s="46">
        <f t="shared" si="68"/>
        <v>0.6067415730337079</v>
      </c>
      <c r="N100" s="46">
        <f t="shared" si="68"/>
        <v>0.45945945945945943</v>
      </c>
      <c r="O100" s="46">
        <f t="shared" si="68"/>
        <v>0.51666666666666661</v>
      </c>
      <c r="P100" s="46">
        <f t="shared" si="68"/>
        <v>0.54285714285714293</v>
      </c>
      <c r="Q100" s="46">
        <f t="shared" si="68"/>
        <v>0.57446808510638303</v>
      </c>
      <c r="R100" s="46">
        <f t="shared" si="68"/>
        <v>0.60465116279069764</v>
      </c>
      <c r="S100" s="46">
        <f t="shared" si="68"/>
        <v>0.50943396226415094</v>
      </c>
      <c r="T100" s="47">
        <f t="shared" si="68"/>
        <v>0.30555555555555564</v>
      </c>
      <c r="U100" s="48">
        <f t="shared" si="68"/>
        <v>0.5</v>
      </c>
      <c r="V100" s="139" t="s">
        <v>39</v>
      </c>
      <c r="W100" s="140"/>
      <c r="X100" s="46">
        <f t="shared" ref="X100:AO100" si="69">X69/X$58</f>
        <v>0.60416666666666674</v>
      </c>
      <c r="Y100" s="46">
        <f t="shared" si="69"/>
        <v>0.59016393442622961</v>
      </c>
      <c r="Z100" s="46">
        <f t="shared" si="69"/>
        <v>0.58490566037735847</v>
      </c>
      <c r="AA100" s="46">
        <f t="shared" si="69"/>
        <v>0.68965517241379315</v>
      </c>
      <c r="AB100" s="46">
        <f t="shared" si="69"/>
        <v>0.72916666666666674</v>
      </c>
      <c r="AC100" s="46">
        <f t="shared" si="69"/>
        <v>0.52830188679245282</v>
      </c>
      <c r="AD100" s="47">
        <f t="shared" si="69"/>
        <v>0.67741935483870963</v>
      </c>
      <c r="AE100" s="48">
        <f t="shared" si="69"/>
        <v>0.34615384615384626</v>
      </c>
      <c r="AF100" s="45">
        <f t="shared" si="69"/>
        <v>0.7857142857142857</v>
      </c>
      <c r="AG100" s="46">
        <f t="shared" si="69"/>
        <v>0.3768115942028985</v>
      </c>
      <c r="AH100" s="46">
        <f t="shared" si="69"/>
        <v>0.94444444444444442</v>
      </c>
      <c r="AI100" s="46">
        <f t="shared" si="69"/>
        <v>0.63636363636363624</v>
      </c>
      <c r="AJ100" s="46">
        <f t="shared" si="69"/>
        <v>0.82352941176470595</v>
      </c>
      <c r="AK100" s="46">
        <f t="shared" si="69"/>
        <v>0.62686567164179108</v>
      </c>
      <c r="AL100" s="46">
        <f t="shared" si="69"/>
        <v>0.7068965517241379</v>
      </c>
      <c r="AM100" s="46">
        <f t="shared" si="69"/>
        <v>0.75000000000000011</v>
      </c>
      <c r="AN100" s="47">
        <f t="shared" si="69"/>
        <v>0.69230769230769229</v>
      </c>
      <c r="AO100" s="48">
        <f t="shared" si="69"/>
        <v>0.71186440677966112</v>
      </c>
    </row>
    <row r="101" spans="1:41" ht="19" x14ac:dyDescent="0.2">
      <c r="A101" s="1" t="s">
        <v>41</v>
      </c>
      <c r="B101" s="11">
        <f t="shared" ref="B101:K101" si="70">B70/B$58</f>
        <v>0.38297872340425532</v>
      </c>
      <c r="C101" s="46">
        <f t="shared" si="70"/>
        <v>0.44186046511627913</v>
      </c>
      <c r="D101" s="46">
        <f t="shared" si="70"/>
        <v>0.2142857142857143</v>
      </c>
      <c r="E101" s="46">
        <f t="shared" si="70"/>
        <v>0.48979591836734704</v>
      </c>
      <c r="F101" s="46">
        <f t="shared" si="70"/>
        <v>0.58227848101265811</v>
      </c>
      <c r="G101" s="46">
        <f t="shared" si="70"/>
        <v>0.61702127659574468</v>
      </c>
      <c r="H101" s="46">
        <f t="shared" si="70"/>
        <v>0.30555555555555564</v>
      </c>
      <c r="I101" s="46">
        <f t="shared" si="70"/>
        <v>0.47826086956521746</v>
      </c>
      <c r="J101" s="47">
        <f t="shared" si="70"/>
        <v>0.41176470588235292</v>
      </c>
      <c r="K101" s="48">
        <f t="shared" si="70"/>
        <v>0.5</v>
      </c>
      <c r="L101" s="45">
        <f t="shared" ref="L101:U101" si="71">L70/L$58</f>
        <v>0.61538461538461542</v>
      </c>
      <c r="M101" s="46">
        <f t="shared" si="71"/>
        <v>0.6741573033707865</v>
      </c>
      <c r="N101" s="46">
        <f t="shared" si="71"/>
        <v>0.56756756756756743</v>
      </c>
      <c r="O101" s="46">
        <f t="shared" si="71"/>
        <v>0.6333333333333333</v>
      </c>
      <c r="P101" s="46">
        <f t="shared" si="71"/>
        <v>0.48571428571428571</v>
      </c>
      <c r="Q101" s="46">
        <f t="shared" si="71"/>
        <v>0.65957446808510634</v>
      </c>
      <c r="R101" s="46">
        <f t="shared" si="71"/>
        <v>0.72093023255813948</v>
      </c>
      <c r="S101" s="46">
        <f t="shared" si="71"/>
        <v>0.67924528301886788</v>
      </c>
      <c r="T101" s="47">
        <f t="shared" si="71"/>
        <v>0.47222222222222227</v>
      </c>
      <c r="U101" s="48">
        <f t="shared" si="71"/>
        <v>0.6071428571428571</v>
      </c>
      <c r="V101" s="11"/>
      <c r="W101" s="15"/>
      <c r="X101" s="46">
        <f t="shared" ref="X101:AO101" si="72">X70/X$58</f>
        <v>0.56250000000000011</v>
      </c>
      <c r="Y101" s="46">
        <f t="shared" si="72"/>
        <v>0.45901639344262302</v>
      </c>
      <c r="Z101" s="46">
        <f t="shared" si="72"/>
        <v>0.56603773584905659</v>
      </c>
      <c r="AA101" s="46">
        <f t="shared" si="72"/>
        <v>0.68965517241379315</v>
      </c>
      <c r="AB101" s="46">
        <f t="shared" si="72"/>
        <v>0.72916666666666674</v>
      </c>
      <c r="AC101" s="46">
        <f t="shared" si="72"/>
        <v>0.52830188679245282</v>
      </c>
      <c r="AD101" s="47">
        <f t="shared" si="72"/>
        <v>0.54838709677419362</v>
      </c>
      <c r="AE101" s="48">
        <f t="shared" si="72"/>
        <v>0.30769230769230776</v>
      </c>
      <c r="AF101" s="45">
        <f t="shared" si="72"/>
        <v>0.8571428571428571</v>
      </c>
      <c r="AG101" s="46">
        <f t="shared" si="72"/>
        <v>0.43478260869565222</v>
      </c>
      <c r="AH101" s="46">
        <f t="shared" si="72"/>
        <v>1</v>
      </c>
      <c r="AI101" s="46">
        <f t="shared" si="72"/>
        <v>0.69696969696969691</v>
      </c>
      <c r="AJ101" s="46">
        <f t="shared" si="72"/>
        <v>0.94117647058823528</v>
      </c>
      <c r="AK101" s="46">
        <f t="shared" si="72"/>
        <v>0.71641791044776115</v>
      </c>
      <c r="AL101" s="46">
        <f t="shared" si="72"/>
        <v>0.81034482758620696</v>
      </c>
      <c r="AM101" s="46">
        <f t="shared" si="72"/>
        <v>0.875</v>
      </c>
      <c r="AN101" s="47">
        <f t="shared" si="72"/>
        <v>0.7846153846153846</v>
      </c>
      <c r="AO101" s="48">
        <f t="shared" si="72"/>
        <v>0.81355932203389836</v>
      </c>
    </row>
    <row r="102" spans="1:41" ht="19" x14ac:dyDescent="0.2">
      <c r="A102" s="1" t="s">
        <v>42</v>
      </c>
      <c r="B102" s="11">
        <f t="shared" ref="B102:K102" si="73">B71/B$58</f>
        <v>0.5106382978723405</v>
      </c>
      <c r="C102" s="46">
        <f t="shared" si="73"/>
        <v>0.58139534883720934</v>
      </c>
      <c r="D102" s="46">
        <f t="shared" si="73"/>
        <v>0.30952380952380953</v>
      </c>
      <c r="E102" s="46">
        <f t="shared" si="73"/>
        <v>0.61224489795918369</v>
      </c>
      <c r="F102" s="46">
        <f t="shared" si="73"/>
        <v>0.810126582278481</v>
      </c>
      <c r="G102" s="46">
        <f t="shared" si="73"/>
        <v>0.70212765957446799</v>
      </c>
      <c r="H102" s="46">
        <f t="shared" si="73"/>
        <v>0.50000000000000011</v>
      </c>
      <c r="I102" s="46">
        <f t="shared" si="73"/>
        <v>0.65217391304347827</v>
      </c>
      <c r="J102" s="47">
        <f t="shared" si="73"/>
        <v>0.52941176470588247</v>
      </c>
      <c r="K102" s="48">
        <f t="shared" si="73"/>
        <v>0.60869565217391308</v>
      </c>
      <c r="L102" s="45">
        <f t="shared" ref="L102:U102" si="74">L71/L$58</f>
        <v>0.65384615384615374</v>
      </c>
      <c r="M102" s="46">
        <f t="shared" si="74"/>
        <v>0.7191011235955056</v>
      </c>
      <c r="N102" s="46">
        <f t="shared" si="74"/>
        <v>0.62162162162162149</v>
      </c>
      <c r="O102" s="46">
        <f t="shared" si="74"/>
        <v>0.64999999999999991</v>
      </c>
      <c r="P102" s="46">
        <f t="shared" si="74"/>
        <v>0.5714285714285714</v>
      </c>
      <c r="Q102" s="46">
        <f t="shared" si="74"/>
        <v>0.68085106382978722</v>
      </c>
      <c r="R102" s="46">
        <f t="shared" si="74"/>
        <v>0.69767441860465118</v>
      </c>
      <c r="S102" s="46">
        <f t="shared" si="74"/>
        <v>0.60377358490566047</v>
      </c>
      <c r="T102" s="47">
        <f t="shared" si="74"/>
        <v>0.55555555555555558</v>
      </c>
      <c r="U102" s="48">
        <f t="shared" si="74"/>
        <v>0.5892857142857143</v>
      </c>
      <c r="V102" s="11"/>
      <c r="W102" s="15"/>
      <c r="X102" s="46">
        <f t="shared" ref="X102:AO102" si="75">X71/X$58</f>
        <v>0.625</v>
      </c>
      <c r="Y102" s="46">
        <f t="shared" si="75"/>
        <v>0.55737704918032793</v>
      </c>
      <c r="Z102" s="46">
        <f t="shared" si="75"/>
        <v>0.73584905660377353</v>
      </c>
      <c r="AA102" s="46">
        <f t="shared" si="75"/>
        <v>0.79310344827586199</v>
      </c>
      <c r="AB102" s="46">
        <f t="shared" si="75"/>
        <v>0.81249999999999989</v>
      </c>
      <c r="AC102" s="46">
        <f t="shared" si="75"/>
        <v>0.60377358490566047</v>
      </c>
      <c r="AD102" s="47">
        <f t="shared" si="75"/>
        <v>0.70967741935483886</v>
      </c>
      <c r="AE102" s="48">
        <f t="shared" si="75"/>
        <v>0.34615384615384626</v>
      </c>
      <c r="AF102" s="45">
        <f t="shared" si="75"/>
        <v>0.77142857142857135</v>
      </c>
      <c r="AG102" s="46">
        <f t="shared" si="75"/>
        <v>0.42028985507246386</v>
      </c>
      <c r="AH102" s="46">
        <f t="shared" si="75"/>
        <v>0.97222222222222232</v>
      </c>
      <c r="AI102" s="46">
        <f t="shared" si="75"/>
        <v>0.63636363636363624</v>
      </c>
      <c r="AJ102" s="46">
        <f t="shared" si="75"/>
        <v>0.82352941176470595</v>
      </c>
      <c r="AK102" s="46">
        <f t="shared" si="75"/>
        <v>0.68656716417910446</v>
      </c>
      <c r="AL102" s="46">
        <f t="shared" si="75"/>
        <v>0.81034482758620696</v>
      </c>
      <c r="AM102" s="46">
        <f t="shared" si="75"/>
        <v>0.7857142857142857</v>
      </c>
      <c r="AN102" s="47">
        <f t="shared" si="75"/>
        <v>0.73846153846153839</v>
      </c>
      <c r="AO102" s="48">
        <f t="shared" si="75"/>
        <v>0.79661016949152552</v>
      </c>
    </row>
    <row r="103" spans="1:41" ht="19" x14ac:dyDescent="0.2">
      <c r="A103" s="1" t="s">
        <v>43</v>
      </c>
      <c r="B103" s="11">
        <f t="shared" ref="B103:K103" si="76">B72/B$58</f>
        <v>0.4893617021276595</v>
      </c>
      <c r="C103" s="46">
        <f t="shared" si="76"/>
        <v>0.55813953488372103</v>
      </c>
      <c r="D103" s="46">
        <f t="shared" si="76"/>
        <v>0.26190476190476192</v>
      </c>
      <c r="E103" s="46">
        <f t="shared" si="76"/>
        <v>0.55102040816326536</v>
      </c>
      <c r="F103" s="46">
        <f t="shared" si="76"/>
        <v>0.70886075949367078</v>
      </c>
      <c r="G103" s="46">
        <f t="shared" si="76"/>
        <v>0.65957446808510634</v>
      </c>
      <c r="H103" s="46">
        <f t="shared" si="76"/>
        <v>0.36111111111111116</v>
      </c>
      <c r="I103" s="46">
        <f t="shared" si="76"/>
        <v>0.60869565217391308</v>
      </c>
      <c r="J103" s="47">
        <f t="shared" si="76"/>
        <v>0.49019607843137258</v>
      </c>
      <c r="K103" s="48">
        <f t="shared" si="76"/>
        <v>0.60869565217391308</v>
      </c>
      <c r="L103" s="45">
        <f t="shared" ref="L103:U103" si="77">L72/L$58</f>
        <v>0.74999999999999989</v>
      </c>
      <c r="M103" s="46">
        <f t="shared" si="77"/>
        <v>0.80898876404494369</v>
      </c>
      <c r="N103" s="46">
        <f t="shared" si="77"/>
        <v>0.3783783783783784</v>
      </c>
      <c r="O103" s="46">
        <f t="shared" si="77"/>
        <v>0.75</v>
      </c>
      <c r="P103" s="46">
        <f t="shared" si="77"/>
        <v>0.62857142857142867</v>
      </c>
      <c r="Q103" s="46">
        <f t="shared" si="77"/>
        <v>0.76595744680851052</v>
      </c>
      <c r="R103" s="46">
        <f t="shared" si="77"/>
        <v>0.90697674418604646</v>
      </c>
      <c r="S103" s="46">
        <f t="shared" si="77"/>
        <v>0.7735849056603773</v>
      </c>
      <c r="T103" s="47">
        <f t="shared" si="77"/>
        <v>0.77777777777777779</v>
      </c>
      <c r="U103" s="48">
        <f t="shared" si="77"/>
        <v>0.6785714285714286</v>
      </c>
      <c r="V103" s="11"/>
      <c r="W103" s="15"/>
      <c r="X103" s="46">
        <f t="shared" ref="X103:AO103" si="78">X72/X$58</f>
        <v>0.58333333333333337</v>
      </c>
      <c r="Y103" s="46">
        <f t="shared" si="78"/>
        <v>0.45901639344262302</v>
      </c>
      <c r="Z103" s="46">
        <f t="shared" si="78"/>
        <v>0.66037735849056611</v>
      </c>
      <c r="AA103" s="46">
        <f t="shared" si="78"/>
        <v>0.75862068965517238</v>
      </c>
      <c r="AB103" s="46">
        <f t="shared" si="78"/>
        <v>0.72916666666666674</v>
      </c>
      <c r="AC103" s="46">
        <f t="shared" si="78"/>
        <v>0.52830188679245282</v>
      </c>
      <c r="AD103" s="47">
        <f t="shared" si="78"/>
        <v>0.64516129032258074</v>
      </c>
      <c r="AE103" s="48">
        <f t="shared" si="78"/>
        <v>0.38461538461538469</v>
      </c>
      <c r="AF103" s="45">
        <f t="shared" si="78"/>
        <v>0.87142857142857133</v>
      </c>
      <c r="AG103" s="46">
        <f t="shared" si="78"/>
        <v>0.55072463768115942</v>
      </c>
      <c r="AH103" s="46">
        <f t="shared" si="78"/>
        <v>1.0555555555555556</v>
      </c>
      <c r="AI103" s="46">
        <f t="shared" si="78"/>
        <v>0.78787878787878785</v>
      </c>
      <c r="AJ103" s="46">
        <f t="shared" si="78"/>
        <v>0.94117647058823528</v>
      </c>
      <c r="AK103" s="46">
        <f t="shared" si="78"/>
        <v>0.82089552238805963</v>
      </c>
      <c r="AL103" s="46">
        <f t="shared" si="78"/>
        <v>0.87931034482758619</v>
      </c>
      <c r="AM103" s="46">
        <f t="shared" si="78"/>
        <v>0.9642857142857143</v>
      </c>
      <c r="AN103" s="47">
        <f t="shared" si="78"/>
        <v>0.87692307692307692</v>
      </c>
      <c r="AO103" s="48">
        <f t="shared" si="78"/>
        <v>0.94915254237288138</v>
      </c>
    </row>
    <row r="104" spans="1:41" ht="20" thickBot="1" x14ac:dyDescent="0.25">
      <c r="A104" s="1" t="s">
        <v>53</v>
      </c>
      <c r="B104" s="11">
        <f t="shared" ref="B104:K104" si="79">B73/B$58</f>
        <v>0.46808510638297873</v>
      </c>
      <c r="C104" s="46">
        <f t="shared" si="79"/>
        <v>0.55813953488372103</v>
      </c>
      <c r="D104" s="46">
        <f t="shared" si="79"/>
        <v>0.26190476190476192</v>
      </c>
      <c r="E104" s="46">
        <f t="shared" si="79"/>
        <v>0.63265306122448983</v>
      </c>
      <c r="F104" s="46">
        <f t="shared" si="79"/>
        <v>0.83544303797468344</v>
      </c>
      <c r="G104" s="46">
        <f t="shared" si="79"/>
        <v>0.76595744680851052</v>
      </c>
      <c r="H104" s="46">
        <f t="shared" si="79"/>
        <v>0.36111111111111116</v>
      </c>
      <c r="I104" s="46">
        <f t="shared" si="79"/>
        <v>0.60869565217391308</v>
      </c>
      <c r="J104" s="47">
        <f t="shared" si="79"/>
        <v>0.50980392156862742</v>
      </c>
      <c r="K104" s="48">
        <f t="shared" si="79"/>
        <v>0.60869565217391308</v>
      </c>
      <c r="L104" s="45">
        <f t="shared" ref="L104:U104" si="80">L73/L$58</f>
        <v>0.67307692307692302</v>
      </c>
      <c r="M104" s="46">
        <f t="shared" si="80"/>
        <v>0.8314606741573034</v>
      </c>
      <c r="N104" s="46">
        <f t="shared" si="80"/>
        <v>0.62162162162162149</v>
      </c>
      <c r="O104" s="46">
        <f t="shared" si="80"/>
        <v>0.68333333333333324</v>
      </c>
      <c r="P104" s="46">
        <f t="shared" si="80"/>
        <v>0.5714285714285714</v>
      </c>
      <c r="Q104" s="46">
        <f t="shared" si="80"/>
        <v>0.78723404255319152</v>
      </c>
      <c r="R104" s="46">
        <f t="shared" si="80"/>
        <v>0.83720930232558133</v>
      </c>
      <c r="S104" s="46">
        <f t="shared" si="80"/>
        <v>0.71698113207547165</v>
      </c>
      <c r="T104" s="47">
        <f t="shared" si="80"/>
        <v>0.63888888888888895</v>
      </c>
      <c r="U104" s="48">
        <f t="shared" si="80"/>
        <v>0.75000000000000011</v>
      </c>
      <c r="V104" s="11"/>
      <c r="W104" s="15"/>
      <c r="X104" s="46">
        <f t="shared" ref="X104:AO104" si="81">X73/X$58</f>
        <v>0.625</v>
      </c>
      <c r="Y104" s="46">
        <f t="shared" si="81"/>
        <v>0.52459016393442626</v>
      </c>
      <c r="Z104" s="46">
        <f t="shared" si="81"/>
        <v>0.64150943396226412</v>
      </c>
      <c r="AA104" s="46">
        <f t="shared" si="81"/>
        <v>0.75862068965517238</v>
      </c>
      <c r="AB104" s="46">
        <f t="shared" si="81"/>
        <v>0.79166666666666663</v>
      </c>
      <c r="AC104" s="46">
        <f t="shared" si="81"/>
        <v>0.58490566037735847</v>
      </c>
      <c r="AD104" s="47">
        <f t="shared" si="81"/>
        <v>0.64516129032258074</v>
      </c>
      <c r="AE104" s="48">
        <f t="shared" si="81"/>
        <v>0.30769230769230776</v>
      </c>
      <c r="AF104" s="45">
        <f t="shared" si="81"/>
        <v>0.82857142857142851</v>
      </c>
      <c r="AG104" s="46">
        <f t="shared" si="81"/>
        <v>0.50724637681159424</v>
      </c>
      <c r="AH104" s="46">
        <f t="shared" si="81"/>
        <v>0.97222222222222232</v>
      </c>
      <c r="AI104" s="46">
        <f t="shared" si="81"/>
        <v>0.78787878787878785</v>
      </c>
      <c r="AJ104" s="46">
        <f t="shared" si="81"/>
        <v>0.86274509803921562</v>
      </c>
      <c r="AK104" s="46">
        <f t="shared" si="81"/>
        <v>0.74626865671641784</v>
      </c>
      <c r="AL104" s="46">
        <f t="shared" si="81"/>
        <v>0.84482758620689646</v>
      </c>
      <c r="AM104" s="46">
        <f t="shared" si="81"/>
        <v>0.8928571428571429</v>
      </c>
      <c r="AN104" s="47">
        <f t="shared" si="81"/>
        <v>0.8</v>
      </c>
      <c r="AO104" s="48">
        <f t="shared" si="81"/>
        <v>0.86440677966101698</v>
      </c>
    </row>
    <row r="105" spans="1:41" ht="20" thickBot="1" x14ac:dyDescent="0.25">
      <c r="A105" s="1" t="s">
        <v>54</v>
      </c>
      <c r="B105" s="11">
        <f t="shared" ref="B105:K105" si="82">B74/B$58</f>
        <v>0.55319148936170204</v>
      </c>
      <c r="C105" s="46">
        <f t="shared" si="82"/>
        <v>0.58139534883720934</v>
      </c>
      <c r="D105" s="46">
        <f t="shared" si="82"/>
        <v>0.26190476190476192</v>
      </c>
      <c r="E105" s="46">
        <f t="shared" si="82"/>
        <v>0.67346938775510212</v>
      </c>
      <c r="F105" s="46">
        <f t="shared" si="82"/>
        <v>0.83544303797468344</v>
      </c>
      <c r="G105" s="46">
        <f t="shared" si="82"/>
        <v>0.70212765957446799</v>
      </c>
      <c r="H105" s="46">
        <f t="shared" si="82"/>
        <v>0.4166666666666668</v>
      </c>
      <c r="I105" s="46">
        <f t="shared" si="82"/>
        <v>0.65217391304347827</v>
      </c>
      <c r="J105" s="47">
        <f t="shared" si="82"/>
        <v>0.5490196078431373</v>
      </c>
      <c r="K105" s="48">
        <f t="shared" si="82"/>
        <v>0.65217391304347827</v>
      </c>
      <c r="L105" s="45">
        <f t="shared" ref="L105:U105" si="83">L74/L$58</f>
        <v>0.78846153846153832</v>
      </c>
      <c r="M105" s="46">
        <f t="shared" si="83"/>
        <v>0.98876404494382009</v>
      </c>
      <c r="N105" s="46">
        <f t="shared" si="83"/>
        <v>0.81081081081081074</v>
      </c>
      <c r="O105" s="46">
        <f t="shared" si="83"/>
        <v>0.79999999999999993</v>
      </c>
      <c r="P105" s="46">
        <f t="shared" si="83"/>
        <v>0.65714285714285714</v>
      </c>
      <c r="Q105" s="46">
        <f t="shared" si="83"/>
        <v>0.85106382978723405</v>
      </c>
      <c r="R105" s="46">
        <f t="shared" si="83"/>
        <v>1.0232558139534882</v>
      </c>
      <c r="S105" s="46">
        <f t="shared" si="83"/>
        <v>0.84905660377358494</v>
      </c>
      <c r="T105" s="47">
        <f t="shared" si="83"/>
        <v>0.77777777777777779</v>
      </c>
      <c r="U105" s="48">
        <f t="shared" si="83"/>
        <v>0.7678571428571429</v>
      </c>
      <c r="V105" s="11"/>
      <c r="W105" s="15"/>
      <c r="X105" s="46">
        <f t="shared" ref="X105:AE109" si="84">X74/X$58</f>
        <v>0.66666666666666674</v>
      </c>
      <c r="Y105" s="46">
        <f t="shared" si="84"/>
        <v>0.52459016393442626</v>
      </c>
      <c r="Z105" s="46">
        <f t="shared" si="84"/>
        <v>0.64150943396226412</v>
      </c>
      <c r="AA105" s="46">
        <f t="shared" si="84"/>
        <v>0.79310344827586199</v>
      </c>
      <c r="AB105" s="46">
        <f t="shared" si="84"/>
        <v>0.85416666666666663</v>
      </c>
      <c r="AC105" s="46">
        <f t="shared" si="84"/>
        <v>0.58490566037735847</v>
      </c>
      <c r="AD105" s="47">
        <f t="shared" si="84"/>
        <v>0.67741935483870963</v>
      </c>
      <c r="AE105" s="48">
        <f t="shared" si="84"/>
        <v>0.38461538461538469</v>
      </c>
      <c r="AF105" s="107" t="s">
        <v>52</v>
      </c>
      <c r="AG105" s="110"/>
      <c r="AH105" s="110"/>
      <c r="AI105" s="110"/>
      <c r="AJ105" s="110"/>
      <c r="AK105" s="110"/>
      <c r="AL105" s="110"/>
      <c r="AM105" s="110"/>
      <c r="AN105" s="110"/>
      <c r="AO105" s="111"/>
    </row>
    <row r="106" spans="1:41" ht="19" x14ac:dyDescent="0.2">
      <c r="A106" s="1" t="s">
        <v>55</v>
      </c>
      <c r="B106" s="11">
        <f t="shared" ref="B106:U106" si="85">B75/B$58</f>
        <v>0.57446808510638303</v>
      </c>
      <c r="C106" s="46">
        <f t="shared" si="85"/>
        <v>0.62790697674418616</v>
      </c>
      <c r="D106" s="46">
        <f t="shared" si="85"/>
        <v>0.30952380952380953</v>
      </c>
      <c r="E106" s="46">
        <f t="shared" si="85"/>
        <v>0.71428571428571441</v>
      </c>
      <c r="F106" s="46">
        <f t="shared" si="85"/>
        <v>0.93670886075949367</v>
      </c>
      <c r="G106" s="46">
        <f t="shared" si="85"/>
        <v>0.74468085106382975</v>
      </c>
      <c r="H106" s="46">
        <f t="shared" si="85"/>
        <v>0.36111111111111116</v>
      </c>
      <c r="I106" s="46">
        <f t="shared" si="85"/>
        <v>0.65217391304347827</v>
      </c>
      <c r="J106" s="47">
        <f t="shared" si="85"/>
        <v>0.56862745098039225</v>
      </c>
      <c r="K106" s="48">
        <f t="shared" si="85"/>
        <v>0.67391304347826086</v>
      </c>
      <c r="L106" s="45">
        <f t="shared" si="85"/>
        <v>0.74999999999999989</v>
      </c>
      <c r="M106" s="46">
        <f t="shared" si="85"/>
        <v>0.92134831460674149</v>
      </c>
      <c r="N106" s="46">
        <f t="shared" si="85"/>
        <v>0.35135135135135137</v>
      </c>
      <c r="O106" s="46">
        <f t="shared" si="85"/>
        <v>0.83333333333333337</v>
      </c>
      <c r="P106" s="46">
        <f t="shared" si="85"/>
        <v>0.59999999999999987</v>
      </c>
      <c r="Q106" s="46">
        <f t="shared" si="85"/>
        <v>0.82978723404255306</v>
      </c>
      <c r="R106" s="46">
        <f t="shared" si="85"/>
        <v>0.90697674418604646</v>
      </c>
      <c r="S106" s="46">
        <f t="shared" si="85"/>
        <v>0.7735849056603773</v>
      </c>
      <c r="T106" s="47">
        <f t="shared" si="85"/>
        <v>0.72222222222222221</v>
      </c>
      <c r="U106" s="48">
        <f t="shared" si="85"/>
        <v>0.7321428571428571</v>
      </c>
      <c r="V106" s="11"/>
      <c r="W106" s="15"/>
      <c r="X106" s="46">
        <f t="shared" si="84"/>
        <v>0.6875</v>
      </c>
      <c r="Y106" s="46">
        <f t="shared" si="84"/>
        <v>0.59016393442622961</v>
      </c>
      <c r="Z106" s="46">
        <f t="shared" si="84"/>
        <v>0.69811320754716988</v>
      </c>
      <c r="AA106" s="46">
        <f t="shared" si="84"/>
        <v>0.84482758620689646</v>
      </c>
      <c r="AB106" s="46">
        <f t="shared" si="84"/>
        <v>0.83333333333333337</v>
      </c>
      <c r="AC106" s="46">
        <f t="shared" si="84"/>
        <v>0.58490566037735847</v>
      </c>
      <c r="AD106" s="47">
        <f t="shared" si="84"/>
        <v>0.77419354838709697</v>
      </c>
      <c r="AE106" s="48">
        <f t="shared" si="84"/>
        <v>0.30769230769230776</v>
      </c>
      <c r="AF106" s="11"/>
      <c r="AG106" s="15"/>
      <c r="AH106" s="15"/>
      <c r="AI106" s="15"/>
      <c r="AJ106" s="15"/>
      <c r="AK106" s="15"/>
      <c r="AL106" s="15"/>
      <c r="AM106" s="15"/>
      <c r="AN106" s="51"/>
      <c r="AO106" s="52"/>
    </row>
    <row r="107" spans="1:41" ht="19" x14ac:dyDescent="0.2">
      <c r="A107" s="1" t="s">
        <v>56</v>
      </c>
      <c r="B107" s="11">
        <f t="shared" ref="B107:U107" si="86">B76/B$58</f>
        <v>0.65957446808510634</v>
      </c>
      <c r="C107" s="46">
        <f t="shared" si="86"/>
        <v>0.67441860465116288</v>
      </c>
      <c r="D107" s="46">
        <f t="shared" si="86"/>
        <v>0.23809523809523808</v>
      </c>
      <c r="E107" s="46">
        <f t="shared" si="86"/>
        <v>0.79591836734693877</v>
      </c>
      <c r="F107" s="46">
        <f t="shared" si="86"/>
        <v>1.0886075949367087</v>
      </c>
      <c r="G107" s="46">
        <f t="shared" si="86"/>
        <v>0.78723404255319152</v>
      </c>
      <c r="H107" s="46">
        <f t="shared" si="86"/>
        <v>0.38888888888888895</v>
      </c>
      <c r="I107" s="46">
        <f t="shared" si="86"/>
        <v>0.69565217391304357</v>
      </c>
      <c r="J107" s="47">
        <f t="shared" si="86"/>
        <v>0.58823529411764708</v>
      </c>
      <c r="K107" s="48">
        <f t="shared" si="86"/>
        <v>0.71739130434782605</v>
      </c>
      <c r="L107" s="45">
        <f t="shared" si="86"/>
        <v>0.84615384615384603</v>
      </c>
      <c r="M107" s="46">
        <f t="shared" si="86"/>
        <v>0.96629213483146059</v>
      </c>
      <c r="N107" s="46">
        <f t="shared" si="86"/>
        <v>0.72972972972972971</v>
      </c>
      <c r="O107" s="46">
        <f t="shared" si="86"/>
        <v>0.96666666666666667</v>
      </c>
      <c r="P107" s="46">
        <f t="shared" si="86"/>
        <v>0.65714285714285714</v>
      </c>
      <c r="Q107" s="46">
        <f t="shared" si="86"/>
        <v>0.87234042553191482</v>
      </c>
      <c r="R107" s="46">
        <f t="shared" si="86"/>
        <v>1.0232558139534882</v>
      </c>
      <c r="S107" s="46">
        <f t="shared" si="86"/>
        <v>0.86792452830188671</v>
      </c>
      <c r="T107" s="47">
        <f t="shared" si="86"/>
        <v>0.88888888888888906</v>
      </c>
      <c r="U107" s="48">
        <f t="shared" si="86"/>
        <v>0.83928571428571441</v>
      </c>
      <c r="V107" s="11"/>
      <c r="W107" s="15"/>
      <c r="X107" s="46">
        <f t="shared" si="84"/>
        <v>0.6875</v>
      </c>
      <c r="Y107" s="46">
        <f t="shared" si="84"/>
        <v>0.65573770491803285</v>
      </c>
      <c r="Z107" s="46">
        <f t="shared" si="84"/>
        <v>0.69811320754716988</v>
      </c>
      <c r="AA107" s="46">
        <f t="shared" si="84"/>
        <v>0.87931034482758619</v>
      </c>
      <c r="AB107" s="46">
        <f t="shared" si="84"/>
        <v>0.89583333333333337</v>
      </c>
      <c r="AC107" s="46">
        <f t="shared" si="84"/>
        <v>0.67924528301886788</v>
      </c>
      <c r="AD107" s="47">
        <f t="shared" si="84"/>
        <v>0.9354838709677421</v>
      </c>
      <c r="AE107" s="48">
        <f t="shared" si="84"/>
        <v>0.34615384615384626</v>
      </c>
      <c r="AF107" s="11"/>
      <c r="AG107" s="15"/>
      <c r="AH107" s="15"/>
      <c r="AI107" s="15"/>
      <c r="AJ107" s="15"/>
      <c r="AK107" s="15"/>
      <c r="AL107" s="15"/>
      <c r="AM107" s="15"/>
      <c r="AN107" s="51"/>
      <c r="AO107" s="52"/>
    </row>
    <row r="108" spans="1:41" ht="19" x14ac:dyDescent="0.2">
      <c r="A108" s="1" t="s">
        <v>57</v>
      </c>
      <c r="B108" s="11">
        <f t="shared" ref="B108:U108" si="87">B77/B$58</f>
        <v>0.91489361702127647</v>
      </c>
      <c r="C108" s="46">
        <f t="shared" si="87"/>
        <v>0.90697674418604646</v>
      </c>
      <c r="D108" s="46">
        <f t="shared" si="87"/>
        <v>0.33333333333333337</v>
      </c>
      <c r="E108" s="46">
        <f t="shared" si="87"/>
        <v>0.97959183673469397</v>
      </c>
      <c r="F108" s="46">
        <f t="shared" si="87"/>
        <v>1.2151898734177213</v>
      </c>
      <c r="G108" s="46">
        <f t="shared" si="87"/>
        <v>0.93617021276595724</v>
      </c>
      <c r="H108" s="46">
        <f t="shared" si="87"/>
        <v>0.47222222222222227</v>
      </c>
      <c r="I108" s="46">
        <f t="shared" si="87"/>
        <v>0.86956521739130443</v>
      </c>
      <c r="J108" s="47">
        <f t="shared" si="87"/>
        <v>0.68627450980392157</v>
      </c>
      <c r="K108" s="48">
        <f t="shared" si="87"/>
        <v>0.84782608695652173</v>
      </c>
      <c r="L108" s="45">
        <f t="shared" si="87"/>
        <v>0.96153846153846145</v>
      </c>
      <c r="M108" s="46">
        <f t="shared" si="87"/>
        <v>1.1011235955056178</v>
      </c>
      <c r="N108" s="46">
        <f t="shared" si="87"/>
        <v>1.027027027027027</v>
      </c>
      <c r="O108" s="46">
        <f t="shared" si="87"/>
        <v>0.8833333333333333</v>
      </c>
      <c r="P108" s="46">
        <f t="shared" si="87"/>
        <v>0.77142857142857146</v>
      </c>
      <c r="Q108" s="46">
        <f t="shared" si="87"/>
        <v>1.0851063829787233</v>
      </c>
      <c r="R108" s="46">
        <f t="shared" si="87"/>
        <v>1.2093023255813955</v>
      </c>
      <c r="S108" s="46">
        <f t="shared" si="87"/>
        <v>0.96226415094339623</v>
      </c>
      <c r="T108" s="47">
        <f t="shared" si="87"/>
        <v>0.88888888888888906</v>
      </c>
      <c r="U108" s="48">
        <f t="shared" si="87"/>
        <v>0.92857142857142871</v>
      </c>
      <c r="V108" s="11"/>
      <c r="W108" s="15"/>
      <c r="X108" s="46">
        <f t="shared" si="84"/>
        <v>0.81249999999999989</v>
      </c>
      <c r="Y108" s="46">
        <f t="shared" si="84"/>
        <v>0.85245901639344257</v>
      </c>
      <c r="Z108" s="46">
        <f t="shared" si="84"/>
        <v>0.84905660377358494</v>
      </c>
      <c r="AA108" s="46">
        <f t="shared" si="84"/>
        <v>1.0689655172413794</v>
      </c>
      <c r="AB108" s="46">
        <f t="shared" si="84"/>
        <v>0.95833333333333326</v>
      </c>
      <c r="AC108" s="46">
        <f t="shared" si="84"/>
        <v>0.79245283018867929</v>
      </c>
      <c r="AD108" s="47">
        <f t="shared" si="84"/>
        <v>1.1612903225806452</v>
      </c>
      <c r="AE108" s="48">
        <f t="shared" si="84"/>
        <v>0.61538461538461542</v>
      </c>
      <c r="AF108" s="11"/>
      <c r="AG108" s="15"/>
      <c r="AH108" s="15"/>
      <c r="AI108" s="15"/>
      <c r="AJ108" s="15"/>
      <c r="AK108" s="15"/>
      <c r="AL108" s="15"/>
      <c r="AM108" s="15"/>
      <c r="AN108" s="51"/>
      <c r="AO108" s="52"/>
    </row>
    <row r="109" spans="1:41" ht="20" thickBot="1" x14ac:dyDescent="0.25">
      <c r="A109" s="1" t="s">
        <v>60</v>
      </c>
      <c r="B109" s="11">
        <f t="shared" ref="B109:U109" si="88">B78/B$58</f>
        <v>0.85106382978723405</v>
      </c>
      <c r="C109" s="46">
        <f t="shared" si="88"/>
        <v>0.86046511627906985</v>
      </c>
      <c r="D109" s="46">
        <f t="shared" si="88"/>
        <v>0.38095238095238093</v>
      </c>
      <c r="E109" s="46">
        <f t="shared" si="88"/>
        <v>0.89795918367346939</v>
      </c>
      <c r="F109" s="46">
        <f t="shared" si="88"/>
        <v>1.1898734177215189</v>
      </c>
      <c r="G109" s="46">
        <f t="shared" si="88"/>
        <v>0.93617021276595724</v>
      </c>
      <c r="H109" s="46">
        <f t="shared" si="88"/>
        <v>0.44444444444444448</v>
      </c>
      <c r="I109" s="46">
        <f t="shared" si="88"/>
        <v>0.76086956521739135</v>
      </c>
      <c r="J109" s="47">
        <f t="shared" si="88"/>
        <v>0.70588235294117641</v>
      </c>
      <c r="K109" s="48">
        <f t="shared" si="88"/>
        <v>0.82608695652173914</v>
      </c>
      <c r="L109" s="45">
        <f t="shared" si="88"/>
        <v>1.0384615384615383</v>
      </c>
      <c r="M109" s="46">
        <f t="shared" si="88"/>
        <v>1.1011235955056178</v>
      </c>
      <c r="N109" s="46">
        <f t="shared" si="88"/>
        <v>1.0810810810810809</v>
      </c>
      <c r="O109" s="46">
        <f t="shared" si="88"/>
        <v>0.96666666666666667</v>
      </c>
      <c r="P109" s="46">
        <f t="shared" si="88"/>
        <v>0.79999999999999993</v>
      </c>
      <c r="Q109" s="46">
        <f t="shared" si="88"/>
        <v>1</v>
      </c>
      <c r="R109" s="46">
        <f t="shared" si="88"/>
        <v>1.1162790697674418</v>
      </c>
      <c r="S109" s="46">
        <f t="shared" si="88"/>
        <v>0.94339622641509435</v>
      </c>
      <c r="T109" s="47">
        <f t="shared" si="88"/>
        <v>0.5277777777777779</v>
      </c>
      <c r="U109" s="48">
        <f t="shared" si="88"/>
        <v>0.9642857142857143</v>
      </c>
      <c r="V109" s="11"/>
      <c r="W109" s="15"/>
      <c r="X109" s="46">
        <f t="shared" si="84"/>
        <v>0.81249999999999989</v>
      </c>
      <c r="Y109" s="46">
        <f t="shared" si="84"/>
        <v>0.78688524590163955</v>
      </c>
      <c r="Z109" s="46">
        <f t="shared" si="84"/>
        <v>0.84905660377358494</v>
      </c>
      <c r="AA109" s="46">
        <f t="shared" si="84"/>
        <v>1</v>
      </c>
      <c r="AB109" s="46">
        <f t="shared" si="84"/>
        <v>0.9375</v>
      </c>
      <c r="AC109" s="46">
        <f t="shared" si="84"/>
        <v>0.71698113207547165</v>
      </c>
      <c r="AD109" s="47">
        <f t="shared" si="84"/>
        <v>1.1612903225806452</v>
      </c>
      <c r="AE109" s="48">
        <f t="shared" si="84"/>
        <v>0.42307692307692318</v>
      </c>
      <c r="AF109" s="11"/>
      <c r="AG109" s="15"/>
      <c r="AH109" s="15"/>
      <c r="AI109" s="15"/>
      <c r="AJ109" s="15"/>
      <c r="AK109" s="15"/>
      <c r="AL109" s="15"/>
      <c r="AM109" s="15"/>
      <c r="AN109" s="15"/>
      <c r="AO109" s="10"/>
    </row>
    <row r="110" spans="1:41" ht="19" thickBot="1" x14ac:dyDescent="0.25">
      <c r="B110" s="107" t="s">
        <v>66</v>
      </c>
      <c r="C110" s="108"/>
      <c r="D110" s="108"/>
      <c r="E110" s="108"/>
      <c r="F110" s="108"/>
      <c r="G110" s="108"/>
      <c r="H110" s="108"/>
      <c r="I110" s="108"/>
      <c r="J110" s="108"/>
      <c r="K110" s="109"/>
      <c r="L110" s="107" t="s">
        <v>66</v>
      </c>
      <c r="M110" s="108"/>
      <c r="N110" s="108"/>
      <c r="O110" s="108"/>
      <c r="P110" s="108"/>
      <c r="Q110" s="108"/>
      <c r="R110" s="108"/>
      <c r="S110" s="108"/>
      <c r="T110" s="108"/>
      <c r="U110" s="109"/>
      <c r="V110" s="11"/>
      <c r="W110" s="15"/>
      <c r="X110" s="107" t="s">
        <v>66</v>
      </c>
      <c r="Y110" s="110"/>
      <c r="Z110" s="110"/>
      <c r="AA110" s="110"/>
      <c r="AB110" s="110"/>
      <c r="AC110" s="110"/>
      <c r="AD110" s="110"/>
      <c r="AE110" s="111"/>
      <c r="AF110" s="11"/>
      <c r="AG110" s="15"/>
      <c r="AH110" s="15"/>
      <c r="AI110" s="15"/>
      <c r="AJ110" s="15"/>
      <c r="AK110" s="15"/>
      <c r="AL110" s="15"/>
      <c r="AM110" s="15"/>
      <c r="AN110" s="15"/>
      <c r="AO110" s="10"/>
    </row>
    <row r="111" spans="1:41" ht="19" thickBot="1" x14ac:dyDescent="0.25">
      <c r="B111" s="12"/>
      <c r="C111" s="13"/>
      <c r="D111" s="13"/>
      <c r="E111" s="13"/>
      <c r="F111" s="13"/>
      <c r="G111" s="13"/>
      <c r="H111" s="13"/>
      <c r="I111" s="13"/>
      <c r="J111" s="13"/>
      <c r="K111" s="14"/>
      <c r="L111" s="12"/>
      <c r="M111" s="13"/>
      <c r="N111" s="13"/>
      <c r="O111" s="13"/>
      <c r="P111" s="13"/>
      <c r="Q111" s="13"/>
      <c r="R111" s="13"/>
      <c r="S111" s="13"/>
      <c r="T111" s="13"/>
      <c r="U111" s="14"/>
      <c r="V111" s="12"/>
      <c r="W111" s="13"/>
      <c r="X111" s="13"/>
      <c r="Y111" s="13"/>
      <c r="Z111" s="13"/>
      <c r="AA111" s="13"/>
      <c r="AB111" s="13"/>
      <c r="AC111" s="13"/>
      <c r="AD111" s="13"/>
      <c r="AE111" s="14"/>
      <c r="AF111" s="12"/>
      <c r="AG111" s="13"/>
      <c r="AH111" s="13"/>
      <c r="AI111" s="13"/>
      <c r="AJ111" s="13"/>
      <c r="AK111" s="13"/>
      <c r="AL111" s="13"/>
      <c r="AM111" s="13"/>
      <c r="AN111" s="13"/>
      <c r="AO111" s="14"/>
    </row>
    <row r="114" spans="1:41" ht="19" thickBot="1" x14ac:dyDescent="0.25"/>
    <row r="115" spans="1:41" ht="19" thickBot="1" x14ac:dyDescent="0.25">
      <c r="A115" s="7" t="s">
        <v>7</v>
      </c>
      <c r="B115" s="136">
        <v>295</v>
      </c>
      <c r="C115" s="137"/>
      <c r="D115" s="137"/>
      <c r="E115" s="137"/>
      <c r="F115" s="137"/>
      <c r="G115" s="137"/>
      <c r="H115" s="137"/>
      <c r="I115" s="137"/>
      <c r="J115" s="137"/>
      <c r="K115" s="138"/>
      <c r="L115" s="136">
        <v>294</v>
      </c>
      <c r="M115" s="137"/>
      <c r="N115" s="137"/>
      <c r="O115" s="137"/>
      <c r="P115" s="137"/>
      <c r="Q115" s="137"/>
      <c r="R115" s="137"/>
      <c r="S115" s="137"/>
      <c r="T115" s="137"/>
      <c r="U115" s="138"/>
      <c r="V115" s="136">
        <v>290</v>
      </c>
      <c r="W115" s="137"/>
      <c r="X115" s="137"/>
      <c r="Y115" s="137"/>
      <c r="Z115" s="137"/>
      <c r="AA115" s="137"/>
      <c r="AB115" s="137"/>
      <c r="AC115" s="137"/>
      <c r="AD115" s="137"/>
      <c r="AE115" s="138"/>
      <c r="AF115" s="136">
        <v>289</v>
      </c>
      <c r="AG115" s="137"/>
      <c r="AH115" s="137"/>
      <c r="AI115" s="137"/>
      <c r="AJ115" s="137"/>
      <c r="AK115" s="137"/>
      <c r="AL115" s="137"/>
      <c r="AM115" s="137"/>
      <c r="AN115" s="137"/>
      <c r="AO115" s="138"/>
    </row>
    <row r="116" spans="1:41" ht="19" thickBot="1" x14ac:dyDescent="0.25">
      <c r="A116" s="7"/>
      <c r="B116" s="148" t="s">
        <v>15</v>
      </c>
      <c r="C116" s="149"/>
      <c r="D116" s="149"/>
      <c r="E116" s="149"/>
      <c r="F116" s="149"/>
      <c r="G116" s="149"/>
      <c r="H116" s="149"/>
      <c r="I116" s="149"/>
      <c r="J116" s="149"/>
      <c r="K116" s="150"/>
      <c r="L116" s="148" t="s">
        <v>27</v>
      </c>
      <c r="M116" s="149"/>
      <c r="N116" s="149"/>
      <c r="O116" s="149"/>
      <c r="P116" s="149"/>
      <c r="Q116" s="149"/>
      <c r="R116" s="149"/>
      <c r="S116" s="149"/>
      <c r="T116" s="149"/>
      <c r="U116" s="150"/>
      <c r="V116" s="148" t="s">
        <v>28</v>
      </c>
      <c r="W116" s="149"/>
      <c r="X116" s="149"/>
      <c r="Y116" s="149"/>
      <c r="Z116" s="149"/>
      <c r="AA116" s="149"/>
      <c r="AB116" s="149"/>
      <c r="AC116" s="149"/>
      <c r="AD116" s="149"/>
      <c r="AE116" s="150"/>
      <c r="AF116" s="148" t="s">
        <v>22</v>
      </c>
      <c r="AG116" s="149"/>
      <c r="AH116" s="149"/>
      <c r="AI116" s="149"/>
      <c r="AJ116" s="149"/>
      <c r="AK116" s="149"/>
      <c r="AL116" s="149"/>
      <c r="AM116" s="149"/>
      <c r="AN116" s="149"/>
      <c r="AO116" s="150"/>
    </row>
    <row r="117" spans="1:41" ht="19" x14ac:dyDescent="0.2">
      <c r="A117" s="8"/>
      <c r="B117" s="114">
        <v>217</v>
      </c>
      <c r="C117" s="115"/>
      <c r="D117" s="116">
        <v>218</v>
      </c>
      <c r="E117" s="117"/>
      <c r="F117" s="118">
        <v>219</v>
      </c>
      <c r="G117" s="117"/>
      <c r="H117" s="118">
        <v>220</v>
      </c>
      <c r="I117" s="117"/>
      <c r="J117" s="119">
        <v>221</v>
      </c>
      <c r="K117" s="120"/>
      <c r="L117" s="121">
        <v>212</v>
      </c>
      <c r="M117" s="122"/>
      <c r="N117" s="131">
        <v>213</v>
      </c>
      <c r="O117" s="130"/>
      <c r="P117" s="129">
        <v>214</v>
      </c>
      <c r="Q117" s="130"/>
      <c r="R117" s="129">
        <v>215</v>
      </c>
      <c r="S117" s="130"/>
      <c r="T117" s="123">
        <v>216</v>
      </c>
      <c r="U117" s="124"/>
      <c r="V117" s="125">
        <v>192</v>
      </c>
      <c r="W117" s="126"/>
      <c r="X117" s="127">
        <v>193</v>
      </c>
      <c r="Y117" s="128"/>
      <c r="Z117" s="151">
        <v>194</v>
      </c>
      <c r="AA117" s="128"/>
      <c r="AB117" s="151">
        <v>195</v>
      </c>
      <c r="AC117" s="128"/>
      <c r="AD117" s="112">
        <v>196</v>
      </c>
      <c r="AE117" s="113"/>
      <c r="AF117" s="145">
        <v>187</v>
      </c>
      <c r="AG117" s="146"/>
      <c r="AH117" s="147">
        <v>188</v>
      </c>
      <c r="AI117" s="133"/>
      <c r="AJ117" s="132">
        <v>189</v>
      </c>
      <c r="AK117" s="133"/>
      <c r="AL117" s="132">
        <v>190</v>
      </c>
      <c r="AM117" s="133"/>
      <c r="AN117" s="134">
        <v>191</v>
      </c>
      <c r="AO117" s="135"/>
    </row>
    <row r="118" spans="1:41" ht="20" thickBot="1" x14ac:dyDescent="0.25">
      <c r="A118" s="8"/>
      <c r="B118" s="16" t="s">
        <v>2</v>
      </c>
      <c r="C118" s="9" t="s">
        <v>3</v>
      </c>
      <c r="D118" s="9" t="s">
        <v>2</v>
      </c>
      <c r="E118" s="9" t="s">
        <v>3</v>
      </c>
      <c r="F118" s="9" t="s">
        <v>2</v>
      </c>
      <c r="G118" s="9" t="s">
        <v>3</v>
      </c>
      <c r="H118" s="9" t="s">
        <v>2</v>
      </c>
      <c r="I118" s="32" t="s">
        <v>3</v>
      </c>
      <c r="J118" s="33" t="s">
        <v>2</v>
      </c>
      <c r="K118" s="34" t="s">
        <v>3</v>
      </c>
      <c r="L118" s="35" t="s">
        <v>2</v>
      </c>
      <c r="M118" s="36" t="s">
        <v>3</v>
      </c>
      <c r="N118" s="36" t="s">
        <v>2</v>
      </c>
      <c r="O118" s="36" t="s">
        <v>3</v>
      </c>
      <c r="P118" s="36" t="s">
        <v>2</v>
      </c>
      <c r="Q118" s="36" t="s">
        <v>3</v>
      </c>
      <c r="R118" s="36" t="s">
        <v>2</v>
      </c>
      <c r="S118" s="37" t="s">
        <v>3</v>
      </c>
      <c r="T118" s="17" t="s">
        <v>2</v>
      </c>
      <c r="U118" s="18" t="s">
        <v>3</v>
      </c>
      <c r="V118" s="38" t="s">
        <v>2</v>
      </c>
      <c r="W118" s="39" t="s">
        <v>3</v>
      </c>
      <c r="X118" s="39" t="s">
        <v>2</v>
      </c>
      <c r="Y118" s="39" t="s">
        <v>3</v>
      </c>
      <c r="Z118" s="39" t="s">
        <v>2</v>
      </c>
      <c r="AA118" s="39" t="s">
        <v>3</v>
      </c>
      <c r="AB118" s="39" t="s">
        <v>2</v>
      </c>
      <c r="AC118" s="40" t="s">
        <v>3</v>
      </c>
      <c r="AD118" s="19" t="s">
        <v>2</v>
      </c>
      <c r="AE118" s="20" t="s">
        <v>3</v>
      </c>
      <c r="AF118" s="41" t="s">
        <v>2</v>
      </c>
      <c r="AG118" s="42" t="s">
        <v>3</v>
      </c>
      <c r="AH118" s="42" t="s">
        <v>2</v>
      </c>
      <c r="AI118" s="42" t="s">
        <v>3</v>
      </c>
      <c r="AJ118" s="42" t="s">
        <v>2</v>
      </c>
      <c r="AK118" s="42" t="s">
        <v>3</v>
      </c>
      <c r="AL118" s="42" t="s">
        <v>2</v>
      </c>
      <c r="AM118" s="43" t="s">
        <v>3</v>
      </c>
      <c r="AN118" s="21" t="s">
        <v>2</v>
      </c>
      <c r="AO118" s="44" t="s">
        <v>3</v>
      </c>
    </row>
    <row r="119" spans="1:41" ht="19" x14ac:dyDescent="0.2">
      <c r="A119" s="3" t="s">
        <v>16</v>
      </c>
      <c r="B119" s="11">
        <f>(B89)^3*100</f>
        <v>100</v>
      </c>
      <c r="C119" s="46">
        <f t="shared" ref="C119:AO120" si="89">(C89)^3*100</f>
        <v>100</v>
      </c>
      <c r="D119" s="46">
        <f t="shared" si="89"/>
        <v>100</v>
      </c>
      <c r="E119" s="46">
        <f t="shared" si="89"/>
        <v>100</v>
      </c>
      <c r="F119" s="46">
        <f t="shared" si="89"/>
        <v>100</v>
      </c>
      <c r="G119" s="46">
        <f t="shared" si="89"/>
        <v>100</v>
      </c>
      <c r="H119" s="46">
        <f t="shared" si="89"/>
        <v>100</v>
      </c>
      <c r="I119" s="46">
        <f t="shared" si="89"/>
        <v>100</v>
      </c>
      <c r="J119" s="47">
        <f t="shared" si="89"/>
        <v>100</v>
      </c>
      <c r="K119" s="48">
        <f t="shared" si="89"/>
        <v>100</v>
      </c>
      <c r="L119" s="45">
        <f t="shared" si="89"/>
        <v>100</v>
      </c>
      <c r="M119" s="46">
        <f t="shared" si="89"/>
        <v>100</v>
      </c>
      <c r="N119" s="46">
        <f t="shared" si="89"/>
        <v>100</v>
      </c>
      <c r="O119" s="46">
        <f t="shared" si="89"/>
        <v>100</v>
      </c>
      <c r="P119" s="46">
        <f t="shared" si="89"/>
        <v>100</v>
      </c>
      <c r="Q119" s="46">
        <f t="shared" si="89"/>
        <v>100</v>
      </c>
      <c r="R119" s="46">
        <f t="shared" si="89"/>
        <v>100</v>
      </c>
      <c r="S119" s="46">
        <f>(S89)^3*100</f>
        <v>100</v>
      </c>
      <c r="T119" s="47">
        <f t="shared" si="89"/>
        <v>100</v>
      </c>
      <c r="U119" s="48">
        <f t="shared" si="89"/>
        <v>100</v>
      </c>
      <c r="V119" s="45">
        <f t="shared" si="89"/>
        <v>100</v>
      </c>
      <c r="W119" s="46">
        <f t="shared" si="89"/>
        <v>100</v>
      </c>
      <c r="X119" s="46">
        <f t="shared" si="89"/>
        <v>100</v>
      </c>
      <c r="Y119" s="46">
        <f t="shared" si="89"/>
        <v>100</v>
      </c>
      <c r="Z119" s="46">
        <f t="shared" si="89"/>
        <v>100</v>
      </c>
      <c r="AA119" s="46">
        <f t="shared" si="89"/>
        <v>100</v>
      </c>
      <c r="AB119" s="46">
        <f t="shared" si="89"/>
        <v>100</v>
      </c>
      <c r="AC119" s="46">
        <f t="shared" si="89"/>
        <v>100</v>
      </c>
      <c r="AD119" s="47">
        <f t="shared" si="89"/>
        <v>100</v>
      </c>
      <c r="AE119" s="48">
        <f t="shared" si="89"/>
        <v>100</v>
      </c>
      <c r="AF119" s="45">
        <f t="shared" si="89"/>
        <v>100</v>
      </c>
      <c r="AG119" s="46">
        <f t="shared" si="89"/>
        <v>100</v>
      </c>
      <c r="AH119" s="46">
        <f t="shared" si="89"/>
        <v>100</v>
      </c>
      <c r="AI119" s="46">
        <f t="shared" si="89"/>
        <v>100</v>
      </c>
      <c r="AJ119" s="46">
        <f t="shared" si="89"/>
        <v>100</v>
      </c>
      <c r="AK119" s="46">
        <f t="shared" si="89"/>
        <v>100</v>
      </c>
      <c r="AL119" s="46">
        <f t="shared" si="89"/>
        <v>100</v>
      </c>
      <c r="AM119" s="46">
        <f t="shared" si="89"/>
        <v>100</v>
      </c>
      <c r="AN119" s="47">
        <f t="shared" si="89"/>
        <v>100</v>
      </c>
      <c r="AO119" s="48">
        <f t="shared" si="89"/>
        <v>100</v>
      </c>
    </row>
    <row r="120" spans="1:41" ht="19" x14ac:dyDescent="0.2">
      <c r="A120" s="1" t="s">
        <v>17</v>
      </c>
      <c r="B120" s="11">
        <f>(B90)^3*100</f>
        <v>71.359910617107943</v>
      </c>
      <c r="C120" s="46">
        <f t="shared" si="89"/>
        <v>63.708855824015522</v>
      </c>
      <c r="D120" s="46">
        <f t="shared" si="89"/>
        <v>16.422362595831977</v>
      </c>
      <c r="E120" s="46">
        <f t="shared" si="89"/>
        <v>43.054339603396571</v>
      </c>
      <c r="F120" s="46">
        <f t="shared" si="89"/>
        <v>39.573340040037401</v>
      </c>
      <c r="G120" s="46">
        <f t="shared" si="89"/>
        <v>37.856736946533978</v>
      </c>
      <c r="H120" s="46">
        <f t="shared" si="89"/>
        <v>52.274091220850515</v>
      </c>
      <c r="I120" s="46">
        <f t="shared" si="89"/>
        <v>36.920563820169306</v>
      </c>
      <c r="J120" s="47">
        <f t="shared" si="89"/>
        <v>55.851821697537154</v>
      </c>
      <c r="K120" s="48">
        <f t="shared" si="89"/>
        <v>44.048450727377336</v>
      </c>
      <c r="L120" s="45">
        <f t="shared" si="89"/>
        <v>39.024806554392342</v>
      </c>
      <c r="M120" s="46">
        <f t="shared" si="89"/>
        <v>37.185181192364489</v>
      </c>
      <c r="N120" s="46">
        <f t="shared" si="89"/>
        <v>48.149171816081989</v>
      </c>
      <c r="O120" s="46">
        <f t="shared" si="89"/>
        <v>34.300000000000011</v>
      </c>
      <c r="P120" s="46">
        <f t="shared" si="89"/>
        <v>69.483381924198213</v>
      </c>
      <c r="Q120" s="46">
        <f t="shared" si="89"/>
        <v>41.296244570085619</v>
      </c>
      <c r="R120" s="46">
        <f t="shared" si="89"/>
        <v>74.608525035531443</v>
      </c>
      <c r="S120" s="46">
        <f>(S90)^3*100</f>
        <v>53.404488268839387</v>
      </c>
      <c r="T120" s="47">
        <f t="shared" si="89"/>
        <v>33.48979766803842</v>
      </c>
      <c r="U120" s="48">
        <f t="shared" si="89"/>
        <v>59.119328534985449</v>
      </c>
      <c r="V120" s="45">
        <f t="shared" ref="V120:AO120" si="90">(V90)^3*100</f>
        <v>47.455199999999984</v>
      </c>
      <c r="W120" s="46">
        <f t="shared" si="90"/>
        <v>38.467317806160786</v>
      </c>
      <c r="X120" s="46">
        <f t="shared" si="90"/>
        <v>53.637695312499979</v>
      </c>
      <c r="Y120" s="46">
        <f t="shared" si="90"/>
        <v>24.174710658601384</v>
      </c>
      <c r="Z120" s="46">
        <f t="shared" si="90"/>
        <v>42.98850729125386</v>
      </c>
      <c r="AA120" s="46">
        <f t="shared" si="90"/>
        <v>43.659026610357124</v>
      </c>
      <c r="AB120" s="46">
        <f t="shared" si="90"/>
        <v>38.768627025462976</v>
      </c>
      <c r="AC120" s="46">
        <f t="shared" si="90"/>
        <v>39.844301000154488</v>
      </c>
      <c r="AD120" s="47">
        <f t="shared" si="90"/>
        <v>35.742338290087631</v>
      </c>
      <c r="AE120" s="48">
        <f t="shared" si="90"/>
        <v>33.18161128812018</v>
      </c>
      <c r="AF120" s="45">
        <f t="shared" si="90"/>
        <v>45.907871720116603</v>
      </c>
      <c r="AG120" s="46">
        <f t="shared" si="90"/>
        <v>10.939426317087204</v>
      </c>
      <c r="AH120" s="46">
        <f t="shared" si="90"/>
        <v>47.050754458161869</v>
      </c>
      <c r="AI120" s="46">
        <f t="shared" si="90"/>
        <v>29.62962962962964</v>
      </c>
      <c r="AJ120" s="46">
        <f t="shared" si="90"/>
        <v>44.718094850396902</v>
      </c>
      <c r="AK120" s="46">
        <f t="shared" si="90"/>
        <v>36.770480411486787</v>
      </c>
      <c r="AL120" s="46">
        <f t="shared" si="90"/>
        <v>53.212001312066924</v>
      </c>
      <c r="AM120" s="46">
        <f t="shared" si="90"/>
        <v>31.245444606413997</v>
      </c>
      <c r="AN120" s="47">
        <f t="shared" si="90"/>
        <v>31.018297678652701</v>
      </c>
      <c r="AO120" s="48">
        <f t="shared" si="90"/>
        <v>50.551906475345596</v>
      </c>
    </row>
    <row r="121" spans="1:41" ht="19" x14ac:dyDescent="0.2">
      <c r="A121" s="1" t="s">
        <v>18</v>
      </c>
      <c r="B121" s="11">
        <f t="shared" ref="B121:AO121" si="91">(B91)^3*100</f>
        <v>34.613717577030123</v>
      </c>
      <c r="C121" s="46">
        <f t="shared" si="91"/>
        <v>22.106229640157466</v>
      </c>
      <c r="D121" s="46">
        <f t="shared" si="91"/>
        <v>9.2579095130115547</v>
      </c>
      <c r="E121" s="46">
        <f t="shared" si="91"/>
        <v>27.852340436382804</v>
      </c>
      <c r="F121" s="46">
        <f t="shared" si="91"/>
        <v>28.518636456750869</v>
      </c>
      <c r="G121" s="46">
        <f t="shared" si="91"/>
        <v>28.694027334983573</v>
      </c>
      <c r="H121" s="46">
        <f t="shared" si="91"/>
        <v>33.48979766803842</v>
      </c>
      <c r="I121" s="46">
        <f t="shared" si="91"/>
        <v>20.221706254623168</v>
      </c>
      <c r="J121" s="47">
        <f t="shared" si="91"/>
        <v>27.091390189293712</v>
      </c>
      <c r="K121" s="48">
        <f t="shared" si="91"/>
        <v>30.606353250595873</v>
      </c>
      <c r="L121" s="45">
        <f t="shared" si="91"/>
        <v>21.187272416932164</v>
      </c>
      <c r="M121" s="46">
        <f t="shared" si="91"/>
        <v>24.911166306603551</v>
      </c>
      <c r="N121" s="46">
        <f t="shared" si="91"/>
        <v>34.698833237912829</v>
      </c>
      <c r="O121" s="46">
        <f t="shared" si="91"/>
        <v>25.403703703703702</v>
      </c>
      <c r="P121" s="46">
        <f t="shared" si="91"/>
        <v>40.993586005830892</v>
      </c>
      <c r="Q121" s="46">
        <f t="shared" si="91"/>
        <v>41.296244570085619</v>
      </c>
      <c r="R121" s="46">
        <f t="shared" si="91"/>
        <v>49.434640975008485</v>
      </c>
      <c r="S121" s="46">
        <f t="shared" si="91"/>
        <v>36.857271438838765</v>
      </c>
      <c r="T121" s="47">
        <f t="shared" si="91"/>
        <v>22.822359396433491</v>
      </c>
      <c r="U121" s="48">
        <f t="shared" si="91"/>
        <v>28.843043913994183</v>
      </c>
      <c r="V121" s="45">
        <f t="shared" si="91"/>
        <v>47.455199999999984</v>
      </c>
      <c r="W121" s="46">
        <f t="shared" si="91"/>
        <v>28.042674680691192</v>
      </c>
      <c r="X121" s="46">
        <f t="shared" si="91"/>
        <v>45.801685474537038</v>
      </c>
      <c r="Y121" s="46">
        <f t="shared" si="91"/>
        <v>37.529132394341396</v>
      </c>
      <c r="Z121" s="46">
        <f t="shared" si="91"/>
        <v>31.338621815324053</v>
      </c>
      <c r="AA121" s="46">
        <f t="shared" si="91"/>
        <v>37.972036573865267</v>
      </c>
      <c r="AB121" s="46">
        <f t="shared" si="91"/>
        <v>53.637695312499979</v>
      </c>
      <c r="AC121" s="46">
        <f t="shared" si="91"/>
        <v>46.293920484695413</v>
      </c>
      <c r="AD121" s="47">
        <f t="shared" si="91"/>
        <v>52.448726125339881</v>
      </c>
      <c r="AE121" s="48">
        <f t="shared" si="91"/>
        <v>52.691169776968593</v>
      </c>
      <c r="AF121" s="45">
        <f t="shared" si="91"/>
        <v>48.505830903790084</v>
      </c>
      <c r="AG121" s="46">
        <f t="shared" si="91"/>
        <v>13.051392808111803</v>
      </c>
      <c r="AH121" s="46">
        <f t="shared" si="91"/>
        <v>91.896004801097419</v>
      </c>
      <c r="AI121" s="46">
        <f t="shared" si="91"/>
        <v>54.770848985725031</v>
      </c>
      <c r="AJ121" s="46">
        <f t="shared" si="91"/>
        <v>68.695298188479569</v>
      </c>
      <c r="AK121" s="46">
        <f t="shared" si="91"/>
        <v>36.770480411486787</v>
      </c>
      <c r="AL121" s="46">
        <f t="shared" si="91"/>
        <v>46.703944401164463</v>
      </c>
      <c r="AM121" s="46">
        <f t="shared" si="91"/>
        <v>39.245285167638478</v>
      </c>
      <c r="AN121" s="47">
        <f t="shared" si="91"/>
        <v>54.211015020482478</v>
      </c>
      <c r="AO121" s="48">
        <f t="shared" si="91"/>
        <v>53.847764377078491</v>
      </c>
    </row>
    <row r="122" spans="1:41" ht="19" x14ac:dyDescent="0.2">
      <c r="A122" s="1" t="s">
        <v>21</v>
      </c>
      <c r="B122" s="11">
        <f t="shared" ref="B122:AO122" si="92">(B92)^3*100</f>
        <v>13.314968744883124</v>
      </c>
      <c r="C122" s="46">
        <f t="shared" si="92"/>
        <v>33.959274026186378</v>
      </c>
      <c r="D122" s="46">
        <f t="shared" si="92"/>
        <v>10.797969981643449</v>
      </c>
      <c r="E122" s="46">
        <f t="shared" si="92"/>
        <v>22.949621331248036</v>
      </c>
      <c r="F122" s="46">
        <f t="shared" si="92"/>
        <v>25.352963964311133</v>
      </c>
      <c r="G122" s="46">
        <f t="shared" si="92"/>
        <v>13.314968744883124</v>
      </c>
      <c r="H122" s="46">
        <f t="shared" si="92"/>
        <v>22.822359396433491</v>
      </c>
      <c r="I122" s="46">
        <f t="shared" si="92"/>
        <v>18.057039533163472</v>
      </c>
      <c r="J122" s="47">
        <f t="shared" si="92"/>
        <v>18.385839533814305</v>
      </c>
      <c r="K122" s="48">
        <f t="shared" si="92"/>
        <v>22.552806772417195</v>
      </c>
      <c r="L122" s="45">
        <f t="shared" si="92"/>
        <v>21.187272416932164</v>
      </c>
      <c r="M122" s="46">
        <f t="shared" si="92"/>
        <v>24.911166306603551</v>
      </c>
      <c r="N122" s="46">
        <f t="shared" si="92"/>
        <v>30.84713639863384</v>
      </c>
      <c r="O122" s="46">
        <f t="shared" si="92"/>
        <v>21.6</v>
      </c>
      <c r="P122" s="46">
        <f t="shared" si="92"/>
        <v>36.443148688046648</v>
      </c>
      <c r="Q122" s="46">
        <f t="shared" si="92"/>
        <v>23.490941313581768</v>
      </c>
      <c r="R122" s="46">
        <f t="shared" si="92"/>
        <v>37.469656759782147</v>
      </c>
      <c r="S122" s="46">
        <f t="shared" si="92"/>
        <v>31.338621815324053</v>
      </c>
      <c r="T122" s="47">
        <f t="shared" si="92"/>
        <v>22.822359396433491</v>
      </c>
      <c r="U122" s="48">
        <f t="shared" si="92"/>
        <v>28.843043913994183</v>
      </c>
      <c r="V122" s="45">
        <f t="shared" si="92"/>
        <v>31.443199999999994</v>
      </c>
      <c r="W122" s="46">
        <f t="shared" si="92"/>
        <v>17.905935386927119</v>
      </c>
      <c r="X122" s="46">
        <f t="shared" si="92"/>
        <v>26.93775318287036</v>
      </c>
      <c r="Y122" s="46">
        <f t="shared" si="92"/>
        <v>28.19619263286355</v>
      </c>
      <c r="Z122" s="46">
        <f t="shared" si="92"/>
        <v>24.138718539465462</v>
      </c>
      <c r="AA122" s="46">
        <f t="shared" si="92"/>
        <v>32.80167288531716</v>
      </c>
      <c r="AB122" s="46">
        <f t="shared" si="92"/>
        <v>42.1875</v>
      </c>
      <c r="AC122" s="46">
        <f t="shared" si="92"/>
        <v>34.023388434748156</v>
      </c>
      <c r="AD122" s="47">
        <f t="shared" si="92"/>
        <v>35.742338290087631</v>
      </c>
      <c r="AE122" s="48">
        <f t="shared" si="92"/>
        <v>23.304506144742835</v>
      </c>
      <c r="AF122" s="45">
        <f t="shared" si="92"/>
        <v>34.29999999999999</v>
      </c>
      <c r="AG122" s="46">
        <f t="shared" si="92"/>
        <v>5.3502339357521391</v>
      </c>
      <c r="AH122" s="46">
        <f t="shared" si="92"/>
        <v>57.870370370370381</v>
      </c>
      <c r="AI122" s="46">
        <f t="shared" si="92"/>
        <v>38.467317806160807</v>
      </c>
      <c r="AJ122" s="46">
        <f t="shared" si="92"/>
        <v>44.718094850396902</v>
      </c>
      <c r="AK122" s="46">
        <f t="shared" si="92"/>
        <v>30.297942233585907</v>
      </c>
      <c r="AL122" s="46">
        <f t="shared" si="92"/>
        <v>30.402538029439484</v>
      </c>
      <c r="AM122" s="46">
        <f t="shared" si="92"/>
        <v>31.245444606413997</v>
      </c>
      <c r="AN122" s="47">
        <f t="shared" si="92"/>
        <v>33.181611288120159</v>
      </c>
      <c r="AO122" s="48">
        <f t="shared" si="92"/>
        <v>33.557958700743505</v>
      </c>
    </row>
    <row r="123" spans="1:41" ht="19" x14ac:dyDescent="0.2">
      <c r="A123" s="1" t="s">
        <v>23</v>
      </c>
      <c r="B123" s="11">
        <f t="shared" ref="B123:AO123" si="93">(B93)^3*100</f>
        <v>10.255916319120042</v>
      </c>
      <c r="C123" s="46">
        <f t="shared" si="93"/>
        <v>15.303055076911463</v>
      </c>
      <c r="D123" s="46">
        <f t="shared" si="93"/>
        <v>9.2579095130115547</v>
      </c>
      <c r="E123" s="46">
        <f t="shared" si="93"/>
        <v>18.658892128279891</v>
      </c>
      <c r="F123" s="46">
        <f t="shared" si="93"/>
        <v>17.277335058687036</v>
      </c>
      <c r="G123" s="46">
        <f t="shared" si="93"/>
        <v>21.143677219883834</v>
      </c>
      <c r="H123" s="46">
        <f t="shared" si="93"/>
        <v>22.822359396433491</v>
      </c>
      <c r="I123" s="46">
        <f t="shared" si="93"/>
        <v>18.057039533163472</v>
      </c>
      <c r="J123" s="47">
        <f t="shared" si="93"/>
        <v>14.838184408711591</v>
      </c>
      <c r="K123" s="48">
        <f t="shared" si="93"/>
        <v>20.221706254623168</v>
      </c>
      <c r="L123" s="45">
        <f t="shared" si="93"/>
        <v>13.998492262175699</v>
      </c>
      <c r="M123" s="46">
        <f t="shared" si="93"/>
        <v>19.945274189361502</v>
      </c>
      <c r="N123" s="46">
        <f t="shared" si="93"/>
        <v>24.020294947979377</v>
      </c>
      <c r="O123" s="46">
        <f t="shared" si="93"/>
        <v>21.6</v>
      </c>
      <c r="P123" s="46">
        <f t="shared" si="93"/>
        <v>32.242565597667657</v>
      </c>
      <c r="Q123" s="46">
        <f t="shared" si="93"/>
        <v>18.958226982460538</v>
      </c>
      <c r="R123" s="46">
        <f t="shared" si="93"/>
        <v>30.675286452765178</v>
      </c>
      <c r="S123" s="46">
        <f t="shared" si="93"/>
        <v>20.01047844865224</v>
      </c>
      <c r="T123" s="47">
        <f t="shared" si="93"/>
        <v>17.14677640603567</v>
      </c>
      <c r="U123" s="48">
        <f t="shared" si="93"/>
        <v>16.963716290087458</v>
      </c>
      <c r="V123" s="45">
        <f t="shared" si="93"/>
        <v>34.29999999999999</v>
      </c>
      <c r="W123" s="46">
        <f t="shared" si="93"/>
        <v>21.6</v>
      </c>
      <c r="X123" s="46">
        <f t="shared" si="93"/>
        <v>35.539641203703695</v>
      </c>
      <c r="Y123" s="46">
        <f t="shared" si="93"/>
        <v>42.882884470506333</v>
      </c>
      <c r="Z123" s="46">
        <f t="shared" si="93"/>
        <v>36.857271438838765</v>
      </c>
      <c r="AA123" s="46">
        <f t="shared" si="93"/>
        <v>43.659026610357124</v>
      </c>
      <c r="AB123" s="46">
        <f t="shared" si="93"/>
        <v>53.637695312499979</v>
      </c>
      <c r="AC123" s="46">
        <f t="shared" si="93"/>
        <v>36.857271438838765</v>
      </c>
      <c r="AD123" s="47">
        <f t="shared" si="93"/>
        <v>46.403276157228731</v>
      </c>
      <c r="AE123" s="48">
        <f t="shared" si="93"/>
        <v>39.024806554392377</v>
      </c>
      <c r="AF123" s="45">
        <f t="shared" si="93"/>
        <v>43.404373177842565</v>
      </c>
      <c r="AG123" s="46">
        <f t="shared" si="93"/>
        <v>7.4241497188813748</v>
      </c>
      <c r="AH123" s="46">
        <f t="shared" si="93"/>
        <v>91.896004801097419</v>
      </c>
      <c r="AI123" s="46">
        <f t="shared" si="93"/>
        <v>43.478865792915379</v>
      </c>
      <c r="AJ123" s="46">
        <f t="shared" si="93"/>
        <v>64.216628596844345</v>
      </c>
      <c r="AK123" s="46">
        <f t="shared" si="93"/>
        <v>28.322632770653289</v>
      </c>
      <c r="AL123" s="46">
        <f t="shared" si="93"/>
        <v>40.749415720201739</v>
      </c>
      <c r="AM123" s="46">
        <f t="shared" si="93"/>
        <v>42.187500000000021</v>
      </c>
      <c r="AN123" s="47">
        <f t="shared" si="93"/>
        <v>40.270186618115602</v>
      </c>
      <c r="AO123" s="48">
        <f t="shared" si="93"/>
        <v>47.393355698489138</v>
      </c>
    </row>
    <row r="124" spans="1:41" ht="19" x14ac:dyDescent="0.2">
      <c r="A124" s="1" t="s">
        <v>24</v>
      </c>
      <c r="B124" s="11">
        <f t="shared" ref="B124:AO126" si="94">(B94)^3*100</f>
        <v>11.71898326960307</v>
      </c>
      <c r="C124" s="46">
        <f t="shared" si="94"/>
        <v>15.303055076911463</v>
      </c>
      <c r="D124" s="46">
        <f t="shared" si="94"/>
        <v>5.5285606306014454</v>
      </c>
      <c r="E124" s="46">
        <f t="shared" si="94"/>
        <v>18.658892128279891</v>
      </c>
      <c r="F124" s="46">
        <f t="shared" si="94"/>
        <v>22.430679925928782</v>
      </c>
      <c r="G124" s="46">
        <f t="shared" si="94"/>
        <v>26.005798329849831</v>
      </c>
      <c r="H124" s="46">
        <f t="shared" si="94"/>
        <v>17.14677640603567</v>
      </c>
      <c r="I124" s="46">
        <f t="shared" si="94"/>
        <v>20.221706254623168</v>
      </c>
      <c r="J124" s="47">
        <f t="shared" si="94"/>
        <v>13.24980588159908</v>
      </c>
      <c r="K124" s="48">
        <f t="shared" si="94"/>
        <v>18.057039533163472</v>
      </c>
      <c r="L124" s="45">
        <f t="shared" si="94"/>
        <v>19.202321347291758</v>
      </c>
      <c r="M124" s="46">
        <f t="shared" si="94"/>
        <v>17.731276127035368</v>
      </c>
      <c r="N124" s="46">
        <f t="shared" si="94"/>
        <v>21.021459735849806</v>
      </c>
      <c r="O124" s="46">
        <f t="shared" si="94"/>
        <v>15.170370370370371</v>
      </c>
      <c r="P124" s="46">
        <f t="shared" si="94"/>
        <v>28.377842565597668</v>
      </c>
      <c r="Q124" s="46">
        <f t="shared" si="94"/>
        <v>28.694027334983573</v>
      </c>
      <c r="R124" s="46">
        <f t="shared" si="94"/>
        <v>27.610147534179369</v>
      </c>
      <c r="S124" s="46">
        <f t="shared" si="94"/>
        <v>18.135776513497717</v>
      </c>
      <c r="T124" s="47">
        <f t="shared" si="94"/>
        <v>10.530264060356656</v>
      </c>
      <c r="U124" s="48">
        <f t="shared" si="94"/>
        <v>16.963716290087458</v>
      </c>
      <c r="V124" s="45">
        <f t="shared" si="94"/>
        <v>19.511200000000006</v>
      </c>
      <c r="W124" s="46">
        <f t="shared" si="94"/>
        <v>13.194290007513143</v>
      </c>
      <c r="X124" s="46">
        <f t="shared" si="94"/>
        <v>22.053132233796305</v>
      </c>
      <c r="Y124" s="46">
        <f t="shared" si="94"/>
        <v>28.19619263286355</v>
      </c>
      <c r="Z124" s="46">
        <f t="shared" si="94"/>
        <v>24.138718539465462</v>
      </c>
      <c r="AA124" s="46">
        <f t="shared" si="94"/>
        <v>28.123334290048792</v>
      </c>
      <c r="AB124" s="46">
        <f t="shared" si="94"/>
        <v>35.539641203703695</v>
      </c>
      <c r="AC124" s="46">
        <f t="shared" si="94"/>
        <v>26.400317040241273</v>
      </c>
      <c r="AD124" s="47">
        <f t="shared" si="94"/>
        <v>40.841193649088652</v>
      </c>
      <c r="AE124" s="48">
        <f t="shared" si="94"/>
        <v>27.952890304961326</v>
      </c>
      <c r="AF124" s="45">
        <f t="shared" si="94"/>
        <v>34.29999999999999</v>
      </c>
      <c r="AG124" s="46">
        <f t="shared" si="94"/>
        <v>5.3502339357521391</v>
      </c>
      <c r="AH124" s="46">
        <f t="shared" si="94"/>
        <v>57.870370370370381</v>
      </c>
      <c r="AI124" s="46">
        <f t="shared" si="94"/>
        <v>33.856471046553679</v>
      </c>
      <c r="AJ124" s="46">
        <f t="shared" si="94"/>
        <v>41.365688913012342</v>
      </c>
      <c r="AK124" s="46">
        <f t="shared" si="94"/>
        <v>19.722838248055769</v>
      </c>
      <c r="AL124" s="46">
        <f t="shared" si="94"/>
        <v>30.402538029439484</v>
      </c>
      <c r="AM124" s="46">
        <f t="shared" si="94"/>
        <v>36.443148688046648</v>
      </c>
      <c r="AN124" s="47">
        <f t="shared" si="94"/>
        <v>23.304506144742835</v>
      </c>
      <c r="AO124" s="48">
        <f t="shared" si="94"/>
        <v>31.161900681179684</v>
      </c>
    </row>
    <row r="125" spans="1:41" ht="19" x14ac:dyDescent="0.2">
      <c r="A125" s="1" t="s">
        <v>25</v>
      </c>
      <c r="B125" s="11">
        <f t="shared" si="94"/>
        <v>7.705421727362916</v>
      </c>
      <c r="C125" s="46">
        <f t="shared" si="94"/>
        <v>11.648030990981921</v>
      </c>
      <c r="D125" s="46">
        <f t="shared" si="94"/>
        <v>2.9653925062088327</v>
      </c>
      <c r="E125" s="46">
        <f t="shared" si="94"/>
        <v>18.658892128279891</v>
      </c>
      <c r="F125" s="46">
        <f t="shared" si="94"/>
        <v>17.277335058687036</v>
      </c>
      <c r="G125" s="46">
        <f t="shared" si="94"/>
        <v>18.958226982460538</v>
      </c>
      <c r="H125" s="46">
        <f t="shared" si="94"/>
        <v>14.701217421124838</v>
      </c>
      <c r="I125" s="46">
        <f t="shared" si="94"/>
        <v>14.202350620530952</v>
      </c>
      <c r="J125" s="47">
        <f t="shared" si="94"/>
        <v>10.421331162222682</v>
      </c>
      <c r="K125" s="48">
        <f t="shared" si="94"/>
        <v>12.5</v>
      </c>
      <c r="L125" s="45">
        <f t="shared" si="94"/>
        <v>8.653134956759212</v>
      </c>
      <c r="M125" s="46">
        <f t="shared" si="94"/>
        <v>17.731276127035368</v>
      </c>
      <c r="N125" s="46">
        <f t="shared" si="94"/>
        <v>13.541152547726687</v>
      </c>
      <c r="O125" s="46">
        <f t="shared" si="94"/>
        <v>10.162962962962959</v>
      </c>
      <c r="P125" s="46">
        <f t="shared" si="94"/>
        <v>11.458892128279883</v>
      </c>
      <c r="Q125" s="46">
        <f t="shared" si="94"/>
        <v>16.928811535016315</v>
      </c>
      <c r="R125" s="46">
        <f t="shared" si="94"/>
        <v>17.387148301407436</v>
      </c>
      <c r="S125" s="46">
        <f t="shared" si="94"/>
        <v>18.135776513497717</v>
      </c>
      <c r="T125" s="47">
        <f t="shared" si="94"/>
        <v>7.2337962962963038</v>
      </c>
      <c r="U125" s="48">
        <f t="shared" si="94"/>
        <v>13.887686771137028</v>
      </c>
      <c r="V125" s="45">
        <f t="shared" si="94"/>
        <v>23.832799999999988</v>
      </c>
      <c r="W125" s="46">
        <f t="shared" si="94"/>
        <v>16.228399699474075</v>
      </c>
      <c r="X125" s="46">
        <f t="shared" si="94"/>
        <v>24.4140625</v>
      </c>
      <c r="Y125" s="46">
        <f t="shared" si="94"/>
        <v>32.640617496618638</v>
      </c>
      <c r="Z125" s="46">
        <f t="shared" si="94"/>
        <v>36.857271438838765</v>
      </c>
      <c r="AA125" s="46">
        <f t="shared" si="94"/>
        <v>35.323814014514731</v>
      </c>
      <c r="AB125" s="46">
        <f t="shared" si="94"/>
        <v>53.637695312499979</v>
      </c>
      <c r="AC125" s="46">
        <f t="shared" si="94"/>
        <v>28.798941408007963</v>
      </c>
      <c r="AD125" s="47">
        <f t="shared" si="94"/>
        <v>40.841193649088652</v>
      </c>
      <c r="AE125" s="48">
        <f t="shared" si="94"/>
        <v>33.18161128812018</v>
      </c>
      <c r="AF125" s="45">
        <f t="shared" si="94"/>
        <v>40.993586005830913</v>
      </c>
      <c r="AG125" s="46">
        <f t="shared" si="94"/>
        <v>5.9916166680364951</v>
      </c>
      <c r="AH125" s="46">
        <f t="shared" si="94"/>
        <v>70.23319615912213</v>
      </c>
      <c r="AI125" s="46">
        <f t="shared" si="94"/>
        <v>25.770097670924102</v>
      </c>
      <c r="AJ125" s="46">
        <f t="shared" si="94"/>
        <v>51.956638095453492</v>
      </c>
      <c r="AK125" s="46">
        <f t="shared" si="94"/>
        <v>28.322632770653289</v>
      </c>
      <c r="AL125" s="46">
        <f t="shared" si="94"/>
        <v>43.659026610357124</v>
      </c>
      <c r="AM125" s="46">
        <f t="shared" si="94"/>
        <v>45.273209730320708</v>
      </c>
      <c r="AN125" s="47">
        <f t="shared" si="94"/>
        <v>33.181611288120159</v>
      </c>
      <c r="AO125" s="48">
        <f t="shared" si="94"/>
        <v>44.369190618320289</v>
      </c>
    </row>
    <row r="126" spans="1:41" ht="19" x14ac:dyDescent="0.2">
      <c r="A126" s="1" t="s">
        <v>26</v>
      </c>
      <c r="B126" s="11">
        <f t="shared" si="94"/>
        <v>10.255916319120042</v>
      </c>
      <c r="C126" s="46">
        <f t="shared" si="94"/>
        <v>10.062007118870035</v>
      </c>
      <c r="D126" s="46">
        <f t="shared" si="94"/>
        <v>3.7037037037037051</v>
      </c>
      <c r="E126" s="46">
        <f t="shared" si="94"/>
        <v>11.750206121599001</v>
      </c>
      <c r="F126" s="46">
        <f t="shared" si="94"/>
        <v>19.742048803441499</v>
      </c>
      <c r="G126" s="46">
        <f t="shared" si="94"/>
        <v>18.958226982460538</v>
      </c>
      <c r="H126" s="46">
        <f t="shared" si="94"/>
        <v>12.500000000000009</v>
      </c>
      <c r="I126" s="46">
        <f t="shared" si="94"/>
        <v>18.057039533163472</v>
      </c>
      <c r="J126" s="47">
        <f t="shared" si="94"/>
        <v>10.421331162222682</v>
      </c>
      <c r="K126" s="48">
        <f t="shared" si="94"/>
        <v>16.052642393359093</v>
      </c>
      <c r="L126" s="45">
        <f t="shared" si="94"/>
        <v>11.112454483386433</v>
      </c>
      <c r="M126" s="46">
        <f t="shared" si="94"/>
        <v>15.687498315528778</v>
      </c>
      <c r="N126" s="46">
        <f t="shared" si="94"/>
        <v>15.793733836100522</v>
      </c>
      <c r="O126" s="46">
        <f t="shared" si="94"/>
        <v>16.637499999999996</v>
      </c>
      <c r="P126" s="46">
        <f t="shared" si="94"/>
        <v>18.658892128279881</v>
      </c>
      <c r="Q126" s="46">
        <f t="shared" si="94"/>
        <v>16.928811535016315</v>
      </c>
      <c r="R126" s="46">
        <f t="shared" si="94"/>
        <v>17.387148301407436</v>
      </c>
      <c r="S126" s="46">
        <f t="shared" si="94"/>
        <v>18.135776513497717</v>
      </c>
      <c r="T126" s="47">
        <f t="shared" si="94"/>
        <v>7.2337962962963038</v>
      </c>
      <c r="U126" s="48">
        <f t="shared" si="94"/>
        <v>11.207976494169101</v>
      </c>
      <c r="V126" s="45">
        <f t="shared" si="94"/>
        <v>15.746400000000001</v>
      </c>
      <c r="W126" s="46">
        <f t="shared" si="94"/>
        <v>8.3089406461307327</v>
      </c>
      <c r="X126" s="46">
        <f t="shared" si="94"/>
        <v>15.89265046296296</v>
      </c>
      <c r="Y126" s="46">
        <f t="shared" si="94"/>
        <v>28.19619263286355</v>
      </c>
      <c r="Z126" s="46">
        <f t="shared" si="94"/>
        <v>26.400317040241273</v>
      </c>
      <c r="AA126" s="46">
        <f t="shared" si="94"/>
        <v>30.402538029439484</v>
      </c>
      <c r="AB126" s="46">
        <f t="shared" si="94"/>
        <v>45.801685474537038</v>
      </c>
      <c r="AC126" s="46">
        <f t="shared" si="94"/>
        <v>26.400317040241273</v>
      </c>
      <c r="AD126" s="47">
        <f t="shared" si="94"/>
        <v>31.086569769393435</v>
      </c>
      <c r="AE126" s="48">
        <f t="shared" si="94"/>
        <v>15.612198452435146</v>
      </c>
      <c r="AF126" s="45">
        <f t="shared" si="94"/>
        <v>34.29999999999999</v>
      </c>
      <c r="AG126" s="46">
        <f t="shared" si="94"/>
        <v>5.9916166680364951</v>
      </c>
      <c r="AH126" s="46">
        <f t="shared" si="94"/>
        <v>57.870370370370381</v>
      </c>
      <c r="AI126" s="46">
        <f t="shared" si="94"/>
        <v>22.261179285972677</v>
      </c>
      <c r="AJ126" s="46">
        <f t="shared" si="94"/>
        <v>41.365688913012342</v>
      </c>
      <c r="AK126" s="46">
        <f t="shared" si="94"/>
        <v>24.633349181914003</v>
      </c>
      <c r="AL126" s="46">
        <f t="shared" si="94"/>
        <v>30.402538029439484</v>
      </c>
      <c r="AM126" s="46">
        <f t="shared" si="94"/>
        <v>33.777674016034979</v>
      </c>
      <c r="AN126" s="47">
        <f t="shared" si="94"/>
        <v>21.599999999999984</v>
      </c>
      <c r="AO126" s="48">
        <f t="shared" si="94"/>
        <v>33.557958700743505</v>
      </c>
    </row>
    <row r="127" spans="1:41" ht="19" x14ac:dyDescent="0.2">
      <c r="A127" s="1" t="s">
        <v>33</v>
      </c>
      <c r="B127" s="11">
        <f t="shared" ref="B127:AO127" si="95">(B97)^3*100</f>
        <v>12.984860772661161</v>
      </c>
      <c r="C127" s="46">
        <f t="shared" si="95"/>
        <v>7.7081099777378093</v>
      </c>
      <c r="D127" s="46">
        <f t="shared" si="95"/>
        <v>3.6249041680164122</v>
      </c>
      <c r="E127" s="46">
        <f t="shared" si="95"/>
        <v>23.879900381643715</v>
      </c>
      <c r="F127" s="46">
        <f t="shared" si="95"/>
        <v>15.901937169270575</v>
      </c>
      <c r="G127" s="46">
        <f t="shared" si="95"/>
        <v>21.600000000000009</v>
      </c>
      <c r="H127" s="46">
        <f t="shared" si="95"/>
        <v>13.135474537037034</v>
      </c>
      <c r="I127" s="46">
        <f t="shared" si="95"/>
        <v>15.860780184104554</v>
      </c>
      <c r="J127" s="47">
        <f t="shared" si="95"/>
        <v>11.638245471198868</v>
      </c>
      <c r="K127" s="48">
        <f t="shared" si="95"/>
        <v>15.860780184104554</v>
      </c>
      <c r="L127" s="45">
        <f t="shared" si="95"/>
        <v>24.640117205279914</v>
      </c>
      <c r="M127" s="46">
        <f t="shared" si="95"/>
        <v>31.881644724803511</v>
      </c>
      <c r="N127" s="46">
        <f t="shared" si="95"/>
        <v>26.614952717509325</v>
      </c>
      <c r="O127" s="46">
        <f t="shared" si="95"/>
        <v>23.450462962962966</v>
      </c>
      <c r="P127" s="46">
        <f t="shared" si="95"/>
        <v>23.504830320699714</v>
      </c>
      <c r="Q127" s="46">
        <f t="shared" si="95"/>
        <v>40.592346589869265</v>
      </c>
      <c r="R127" s="46">
        <f t="shared" si="95"/>
        <v>43.576007144025048</v>
      </c>
      <c r="S127" s="46">
        <f t="shared" si="95"/>
        <v>31.078191392894798</v>
      </c>
      <c r="T127" s="47">
        <f t="shared" si="95"/>
        <v>10.906310013717423</v>
      </c>
      <c r="U127" s="48">
        <f t="shared" si="95"/>
        <v>21.793431691873188</v>
      </c>
      <c r="V127" s="45">
        <f t="shared" si="95"/>
        <v>20.123005599999995</v>
      </c>
      <c r="W127" s="46">
        <f t="shared" si="95"/>
        <v>11.962440871525169</v>
      </c>
      <c r="X127" s="46">
        <f t="shared" si="95"/>
        <v>20.277929687500016</v>
      </c>
      <c r="Y127" s="46">
        <f t="shared" si="95"/>
        <v>14.708829373383683</v>
      </c>
      <c r="Z127" s="46">
        <f t="shared" si="95"/>
        <v>37.149016302047997</v>
      </c>
      <c r="AA127" s="46">
        <f t="shared" si="95"/>
        <v>49.239366107671493</v>
      </c>
      <c r="AB127" s="46">
        <f t="shared" si="95"/>
        <v>54.467129629629632</v>
      </c>
      <c r="AC127" s="46">
        <f t="shared" si="95"/>
        <v>28.30806101681253</v>
      </c>
      <c r="AD127" s="47">
        <f t="shared" si="95"/>
        <v>33.827988318619731</v>
      </c>
      <c r="AE127" s="48">
        <f t="shared" si="95"/>
        <v>6.7763768775603124</v>
      </c>
      <c r="AF127" s="45">
        <f t="shared" si="95"/>
        <v>56.590244606414011</v>
      </c>
      <c r="AG127" s="46">
        <f t="shared" si="95"/>
        <v>14.084326152403746</v>
      </c>
      <c r="AH127" s="46">
        <f t="shared" si="95"/>
        <v>129.1072702331962</v>
      </c>
      <c r="AI127" s="46">
        <f t="shared" si="95"/>
        <v>32.548857723237916</v>
      </c>
      <c r="AJ127" s="46">
        <f t="shared" si="95"/>
        <v>83.370649297781398</v>
      </c>
      <c r="AK127" s="46">
        <f t="shared" si="95"/>
        <v>44.887734528515807</v>
      </c>
      <c r="AL127" s="46">
        <f t="shared" si="95"/>
        <v>88.56897218008119</v>
      </c>
      <c r="AM127" s="46">
        <f t="shared" si="95"/>
        <v>72.035582179300292</v>
      </c>
      <c r="AN127" s="47">
        <f t="shared" si="95"/>
        <v>46.065000637232579</v>
      </c>
      <c r="AO127" s="48">
        <f t="shared" si="95"/>
        <v>74.559899015965613</v>
      </c>
    </row>
    <row r="128" spans="1:41" ht="19" x14ac:dyDescent="0.2">
      <c r="A128" s="1" t="s">
        <v>34</v>
      </c>
      <c r="B128" s="11">
        <f t="shared" ref="B128:AO134" si="96">(B98)^3*100</f>
        <v>6.6064359534977815</v>
      </c>
      <c r="C128" s="46">
        <f t="shared" si="96"/>
        <v>6.1793301218760606</v>
      </c>
      <c r="D128" s="46">
        <f t="shared" si="96"/>
        <v>2.9653925062088327</v>
      </c>
      <c r="E128" s="46">
        <f t="shared" si="96"/>
        <v>10.341779360640551</v>
      </c>
      <c r="F128" s="46">
        <f t="shared" si="96"/>
        <v>9.4629430937512033</v>
      </c>
      <c r="G128" s="46">
        <f t="shared" si="96"/>
        <v>16.928811535016315</v>
      </c>
      <c r="H128" s="46">
        <f t="shared" si="96"/>
        <v>5.8813443072702363</v>
      </c>
      <c r="I128" s="46">
        <f t="shared" si="96"/>
        <v>9.5144653571135009</v>
      </c>
      <c r="J128" s="47">
        <f t="shared" si="96"/>
        <v>10.421331162222682</v>
      </c>
      <c r="K128" s="48">
        <f t="shared" si="96"/>
        <v>10.939426317087209</v>
      </c>
      <c r="L128" s="45">
        <f t="shared" si="96"/>
        <v>9.8315885298133843</v>
      </c>
      <c r="M128" s="46">
        <f t="shared" si="96"/>
        <v>12.083368204843053</v>
      </c>
      <c r="N128" s="46">
        <f t="shared" si="96"/>
        <v>9.6993267920952331</v>
      </c>
      <c r="O128" s="46">
        <f t="shared" si="96"/>
        <v>10.162962962962959</v>
      </c>
      <c r="P128" s="46">
        <f t="shared" si="96"/>
        <v>18.658892128279881</v>
      </c>
      <c r="Q128" s="46">
        <f t="shared" si="96"/>
        <v>11.71898326960307</v>
      </c>
      <c r="R128" s="46">
        <f t="shared" si="96"/>
        <v>19.652357654043044</v>
      </c>
      <c r="S128" s="46">
        <f t="shared" si="96"/>
        <v>18.135776513497717</v>
      </c>
      <c r="T128" s="47">
        <f t="shared" si="96"/>
        <v>7.2337962962963038</v>
      </c>
      <c r="U128" s="48">
        <f t="shared" si="96"/>
        <v>13.887686771137028</v>
      </c>
      <c r="V128" s="45">
        <f t="shared" si="96"/>
        <v>12.5</v>
      </c>
      <c r="W128" s="46">
        <f t="shared" si="96"/>
        <v>8.3089406461307327</v>
      </c>
      <c r="X128" s="46">
        <f t="shared" si="96"/>
        <v>14.128508391203706</v>
      </c>
      <c r="Y128" s="46">
        <f t="shared" si="96"/>
        <v>14.436450628026137</v>
      </c>
      <c r="Z128" s="46">
        <f t="shared" si="96"/>
        <v>16.381979755099856</v>
      </c>
      <c r="AA128" s="46">
        <f t="shared" si="96"/>
        <v>21.974558202468323</v>
      </c>
      <c r="AB128" s="46">
        <f t="shared" si="96"/>
        <v>29.62962962962964</v>
      </c>
      <c r="AC128" s="46">
        <f t="shared" si="96"/>
        <v>14.745058000900071</v>
      </c>
      <c r="AD128" s="47">
        <f t="shared" si="96"/>
        <v>16.49155785304287</v>
      </c>
      <c r="AE128" s="48">
        <f t="shared" si="96"/>
        <v>2.9130632680928557</v>
      </c>
      <c r="AF128" s="45">
        <f t="shared" si="96"/>
        <v>32.242565597667635</v>
      </c>
      <c r="AG128" s="46">
        <f t="shared" si="96"/>
        <v>5.3502339357521391</v>
      </c>
      <c r="AH128" s="46">
        <f t="shared" si="96"/>
        <v>63.852451989026051</v>
      </c>
      <c r="AI128" s="46">
        <f t="shared" si="96"/>
        <v>22.261179285972677</v>
      </c>
      <c r="AJ128" s="46">
        <f t="shared" si="96"/>
        <v>41.365688913012342</v>
      </c>
      <c r="AK128" s="46">
        <f t="shared" si="96"/>
        <v>18.244265418286158</v>
      </c>
      <c r="AL128" s="46">
        <f t="shared" si="96"/>
        <v>30.402538029439484</v>
      </c>
      <c r="AM128" s="46">
        <f t="shared" si="96"/>
        <v>33.777674016034979</v>
      </c>
      <c r="AN128" s="47">
        <f t="shared" si="96"/>
        <v>26.977878925807925</v>
      </c>
      <c r="AO128" s="48">
        <f t="shared" si="96"/>
        <v>36.073795276050632</v>
      </c>
    </row>
    <row r="129" spans="1:41" ht="19" x14ac:dyDescent="0.2">
      <c r="A129" s="1" t="s">
        <v>35</v>
      </c>
      <c r="B129" s="11">
        <f t="shared" si="96"/>
        <v>6.6064359534977815</v>
      </c>
      <c r="C129" s="46">
        <f t="shared" si="96"/>
        <v>8.6269133535412017</v>
      </c>
      <c r="D129" s="46">
        <f t="shared" si="96"/>
        <v>1.7965122556959294</v>
      </c>
      <c r="E129" s="46">
        <f t="shared" si="96"/>
        <v>11.750206121599001</v>
      </c>
      <c r="F129" s="46">
        <f t="shared" si="96"/>
        <v>22.430679925928782</v>
      </c>
      <c r="G129" s="46">
        <f t="shared" si="96"/>
        <v>18.958226982460538</v>
      </c>
      <c r="H129" s="46">
        <f t="shared" si="96"/>
        <v>4.7089334705075458</v>
      </c>
      <c r="I129" s="46">
        <f t="shared" si="96"/>
        <v>10.939426317087209</v>
      </c>
      <c r="J129" s="47">
        <f t="shared" si="96"/>
        <v>8.0270785746055484</v>
      </c>
      <c r="K129" s="48">
        <f t="shared" si="96"/>
        <v>12.5</v>
      </c>
      <c r="L129" s="45">
        <f t="shared" si="96"/>
        <v>17.345385753299954</v>
      </c>
      <c r="M129" s="46">
        <f t="shared" si="96"/>
        <v>30.639645147517125</v>
      </c>
      <c r="N129" s="46">
        <f t="shared" si="96"/>
        <v>18.283221132015861</v>
      </c>
      <c r="O129" s="46">
        <f t="shared" si="96"/>
        <v>19.849537037037042</v>
      </c>
      <c r="P129" s="46">
        <f t="shared" si="96"/>
        <v>21.599999999999984</v>
      </c>
      <c r="Q129" s="46">
        <f t="shared" si="96"/>
        <v>23.490941313581768</v>
      </c>
      <c r="R129" s="46">
        <f t="shared" si="96"/>
        <v>30.675286452765178</v>
      </c>
      <c r="S129" s="46">
        <f t="shared" si="96"/>
        <v>26.400317040241273</v>
      </c>
      <c r="T129" s="47">
        <f t="shared" si="96"/>
        <v>14.701217421124838</v>
      </c>
      <c r="U129" s="48">
        <f t="shared" si="96"/>
        <v>18.658892128279891</v>
      </c>
      <c r="V129" s="45">
        <f t="shared" si="96"/>
        <v>11.059200000000006</v>
      </c>
      <c r="W129" s="46">
        <f t="shared" si="96"/>
        <v>7.3129977460555953</v>
      </c>
      <c r="X129" s="46">
        <f t="shared" si="96"/>
        <v>15.89265046296296</v>
      </c>
      <c r="Y129" s="46">
        <f t="shared" si="96"/>
        <v>9.6712940730721986</v>
      </c>
      <c r="Z129" s="46">
        <f t="shared" si="96"/>
        <v>16.381979755099856</v>
      </c>
      <c r="AA129" s="46">
        <f t="shared" si="96"/>
        <v>23.912419533396193</v>
      </c>
      <c r="AB129" s="46">
        <f t="shared" si="96"/>
        <v>38.768627025462976</v>
      </c>
      <c r="AC129" s="46">
        <f t="shared" si="96"/>
        <v>16.381979755099856</v>
      </c>
      <c r="AD129" s="47">
        <f t="shared" si="96"/>
        <v>16.49155785304287</v>
      </c>
      <c r="AE129" s="48">
        <f t="shared" si="96"/>
        <v>2.9130632680928557</v>
      </c>
      <c r="AF129" s="45">
        <f t="shared" si="96"/>
        <v>53.992128279883374</v>
      </c>
      <c r="AG129" s="46">
        <f t="shared" si="96"/>
        <v>9.9747647705237945</v>
      </c>
      <c r="AH129" s="46">
        <f t="shared" si="96"/>
        <v>91.896004801097419</v>
      </c>
      <c r="AI129" s="46">
        <f t="shared" si="96"/>
        <v>25.770097670924102</v>
      </c>
      <c r="AJ129" s="46">
        <f t="shared" si="96"/>
        <v>68.695298188479569</v>
      </c>
      <c r="AK129" s="46">
        <f t="shared" si="96"/>
        <v>34.519871127765057</v>
      </c>
      <c r="AL129" s="46">
        <f t="shared" si="96"/>
        <v>43.659026610357124</v>
      </c>
      <c r="AM129" s="46">
        <f t="shared" si="96"/>
        <v>55.425473760932931</v>
      </c>
      <c r="AN129" s="47">
        <f t="shared" si="96"/>
        <v>37.805370960400545</v>
      </c>
      <c r="AO129" s="48">
        <f t="shared" si="96"/>
        <v>57.28385083187667</v>
      </c>
    </row>
    <row r="130" spans="1:41" ht="19" x14ac:dyDescent="0.2">
      <c r="A130" s="1" t="s">
        <v>40</v>
      </c>
      <c r="B130" s="11">
        <f t="shared" si="96"/>
        <v>10.255916319120042</v>
      </c>
      <c r="C130" s="46">
        <f t="shared" si="96"/>
        <v>11.648030990981921</v>
      </c>
      <c r="D130" s="46">
        <f t="shared" si="96"/>
        <v>0.98396501457725971</v>
      </c>
      <c r="E130" s="46">
        <f t="shared" si="96"/>
        <v>13.281030862990761</v>
      </c>
      <c r="F130" s="46">
        <f t="shared" si="96"/>
        <v>15.026803153503055</v>
      </c>
      <c r="G130" s="46">
        <f t="shared" si="96"/>
        <v>21.143677219883834</v>
      </c>
      <c r="H130" s="46">
        <f t="shared" si="96"/>
        <v>3.7037037037037051</v>
      </c>
      <c r="I130" s="46">
        <f t="shared" si="96"/>
        <v>12.5</v>
      </c>
      <c r="J130" s="47">
        <f t="shared" si="96"/>
        <v>9.1721886755471136</v>
      </c>
      <c r="K130" s="48">
        <f t="shared" si="96"/>
        <v>16.052642393359093</v>
      </c>
      <c r="L130" s="45">
        <f t="shared" si="96"/>
        <v>13.998492262175699</v>
      </c>
      <c r="M130" s="46">
        <f t="shared" si="96"/>
        <v>22.336301312539987</v>
      </c>
      <c r="N130" s="46">
        <f t="shared" si="96"/>
        <v>9.6993267920952331</v>
      </c>
      <c r="O130" s="46">
        <f t="shared" si="96"/>
        <v>13.792129629629624</v>
      </c>
      <c r="P130" s="46">
        <f t="shared" si="96"/>
        <v>15.997667638483973</v>
      </c>
      <c r="Q130" s="46">
        <f t="shared" si="96"/>
        <v>18.958226982460538</v>
      </c>
      <c r="R130" s="46">
        <f t="shared" si="96"/>
        <v>22.106229640157466</v>
      </c>
      <c r="S130" s="46">
        <f t="shared" si="96"/>
        <v>13.220981078339838</v>
      </c>
      <c r="T130" s="47">
        <f t="shared" si="96"/>
        <v>2.8527949245541864</v>
      </c>
      <c r="U130" s="48">
        <f t="shared" si="96"/>
        <v>12.5</v>
      </c>
      <c r="V130" s="141" t="s">
        <v>39</v>
      </c>
      <c r="W130" s="142"/>
      <c r="X130" s="46">
        <f t="shared" si="96"/>
        <v>22.053132233796305</v>
      </c>
      <c r="Y130" s="46">
        <f t="shared" si="96"/>
        <v>20.555024429357534</v>
      </c>
      <c r="Z130" s="46">
        <f t="shared" si="96"/>
        <v>20.01047844865224</v>
      </c>
      <c r="AA130" s="46">
        <f t="shared" si="96"/>
        <v>32.80167288531716</v>
      </c>
      <c r="AB130" s="46">
        <f t="shared" si="96"/>
        <v>38.768627025462976</v>
      </c>
      <c r="AC130" s="46">
        <f t="shared" si="96"/>
        <v>14.745058000900071</v>
      </c>
      <c r="AD130" s="47">
        <f t="shared" si="96"/>
        <v>31.086569769393435</v>
      </c>
      <c r="AE130" s="48">
        <f t="shared" si="96"/>
        <v>4.1477014110150243</v>
      </c>
      <c r="AF130" s="45">
        <f t="shared" si="96"/>
        <v>48.505830903790084</v>
      </c>
      <c r="AG130" s="46">
        <f t="shared" si="96"/>
        <v>5.3502339357521391</v>
      </c>
      <c r="AH130" s="46">
        <f t="shared" si="96"/>
        <v>84.242112482853216</v>
      </c>
      <c r="AI130" s="46">
        <f t="shared" si="96"/>
        <v>25.770097670924102</v>
      </c>
      <c r="AJ130" s="46">
        <f t="shared" si="96"/>
        <v>55.851821697537154</v>
      </c>
      <c r="AK130" s="46">
        <f t="shared" si="96"/>
        <v>24.633349181914003</v>
      </c>
      <c r="AL130" s="46">
        <f t="shared" si="96"/>
        <v>35.323814014514731</v>
      </c>
      <c r="AM130" s="46">
        <f t="shared" si="96"/>
        <v>42.187500000000021</v>
      </c>
      <c r="AN130" s="47">
        <f t="shared" si="96"/>
        <v>33.181611288120159</v>
      </c>
      <c r="AO130" s="48">
        <f t="shared" si="96"/>
        <v>36.073795276050632</v>
      </c>
    </row>
    <row r="131" spans="1:41" ht="19" x14ac:dyDescent="0.2">
      <c r="A131" s="1" t="s">
        <v>41</v>
      </c>
      <c r="B131" s="11">
        <f t="shared" si="96"/>
        <v>5.6172524392475651</v>
      </c>
      <c r="C131" s="46">
        <f t="shared" si="96"/>
        <v>8.6269133535412017</v>
      </c>
      <c r="D131" s="46">
        <f t="shared" si="96"/>
        <v>0.98396501457725971</v>
      </c>
      <c r="E131" s="46">
        <f t="shared" si="96"/>
        <v>11.750206121599001</v>
      </c>
      <c r="F131" s="46">
        <f t="shared" si="96"/>
        <v>19.742048803441499</v>
      </c>
      <c r="G131" s="46">
        <f t="shared" si="96"/>
        <v>23.490941313581768</v>
      </c>
      <c r="H131" s="46">
        <f t="shared" si="96"/>
        <v>2.8527949245541864</v>
      </c>
      <c r="I131" s="46">
        <f t="shared" si="96"/>
        <v>10.939426317087209</v>
      </c>
      <c r="J131" s="47">
        <f t="shared" si="96"/>
        <v>6.9814777121921425</v>
      </c>
      <c r="K131" s="48">
        <f t="shared" si="96"/>
        <v>12.5</v>
      </c>
      <c r="L131" s="45">
        <f t="shared" si="96"/>
        <v>23.304506144742835</v>
      </c>
      <c r="M131" s="46">
        <f t="shared" si="96"/>
        <v>30.639645147517125</v>
      </c>
      <c r="N131" s="46">
        <f t="shared" si="96"/>
        <v>18.283221132015861</v>
      </c>
      <c r="O131" s="46">
        <f t="shared" si="96"/>
        <v>25.403703703703702</v>
      </c>
      <c r="P131" s="46">
        <f t="shared" si="96"/>
        <v>11.458892128279883</v>
      </c>
      <c r="Q131" s="46">
        <f t="shared" si="96"/>
        <v>28.694027334983573</v>
      </c>
      <c r="R131" s="46">
        <f t="shared" si="96"/>
        <v>37.469656759782147</v>
      </c>
      <c r="S131" s="46">
        <f t="shared" si="96"/>
        <v>31.338621815324053</v>
      </c>
      <c r="T131" s="47">
        <f t="shared" si="96"/>
        <v>10.530264060356656</v>
      </c>
      <c r="U131" s="48">
        <f t="shared" si="96"/>
        <v>22.380648688046641</v>
      </c>
      <c r="V131" s="143"/>
      <c r="W131" s="144"/>
      <c r="X131" s="46">
        <f t="shared" si="96"/>
        <v>17.797851562500011</v>
      </c>
      <c r="Y131" s="46">
        <f t="shared" si="96"/>
        <v>9.6712940730721986</v>
      </c>
      <c r="Z131" s="46">
        <f t="shared" si="96"/>
        <v>18.135776513497717</v>
      </c>
      <c r="AA131" s="46">
        <f t="shared" si="96"/>
        <v>32.80167288531716</v>
      </c>
      <c r="AB131" s="46">
        <f t="shared" si="96"/>
        <v>38.768627025462976</v>
      </c>
      <c r="AC131" s="46">
        <f t="shared" si="96"/>
        <v>14.745058000900071</v>
      </c>
      <c r="AD131" s="47">
        <f t="shared" si="96"/>
        <v>16.49155785304287</v>
      </c>
      <c r="AE131" s="48">
        <f t="shared" si="96"/>
        <v>2.9130632680928557</v>
      </c>
      <c r="AF131" s="45">
        <f t="shared" si="96"/>
        <v>62.9737609329446</v>
      </c>
      <c r="AG131" s="46">
        <f t="shared" si="96"/>
        <v>8.2189529053998545</v>
      </c>
      <c r="AH131" s="46">
        <f t="shared" si="96"/>
        <v>100</v>
      </c>
      <c r="AI131" s="46">
        <f t="shared" si="96"/>
        <v>33.856471046553679</v>
      </c>
      <c r="AJ131" s="46">
        <f t="shared" si="96"/>
        <v>83.370649297781398</v>
      </c>
      <c r="AK131" s="46">
        <f t="shared" si="96"/>
        <v>36.770480411486787</v>
      </c>
      <c r="AL131" s="46">
        <f t="shared" si="96"/>
        <v>53.212001312066924</v>
      </c>
      <c r="AM131" s="46">
        <f t="shared" si="96"/>
        <v>66.9921875</v>
      </c>
      <c r="AN131" s="47">
        <f t="shared" si="96"/>
        <v>48.302594446973146</v>
      </c>
      <c r="AO131" s="48">
        <f t="shared" si="96"/>
        <v>53.847764377078491</v>
      </c>
    </row>
    <row r="132" spans="1:41" ht="19" x14ac:dyDescent="0.2">
      <c r="A132" s="1" t="s">
        <v>42</v>
      </c>
      <c r="B132" s="11">
        <f t="shared" si="96"/>
        <v>13.314968744883124</v>
      </c>
      <c r="C132" s="46">
        <f t="shared" si="96"/>
        <v>19.652357654043044</v>
      </c>
      <c r="D132" s="46">
        <f t="shared" si="96"/>
        <v>2.9653925062088327</v>
      </c>
      <c r="E132" s="46">
        <f t="shared" si="96"/>
        <v>22.949621331248036</v>
      </c>
      <c r="F132" s="46">
        <f t="shared" si="96"/>
        <v>53.169019083683033</v>
      </c>
      <c r="G132" s="46">
        <f t="shared" si="96"/>
        <v>34.613717577030123</v>
      </c>
      <c r="H132" s="46">
        <f t="shared" si="96"/>
        <v>12.500000000000009</v>
      </c>
      <c r="I132" s="46">
        <f t="shared" si="96"/>
        <v>27.7389660557245</v>
      </c>
      <c r="J132" s="47">
        <f t="shared" si="96"/>
        <v>14.838184408711591</v>
      </c>
      <c r="K132" s="48">
        <f t="shared" si="96"/>
        <v>22.552806772417195</v>
      </c>
      <c r="L132" s="45">
        <f t="shared" si="96"/>
        <v>27.952890304961297</v>
      </c>
      <c r="M132" s="46">
        <f t="shared" si="96"/>
        <v>37.185181192364489</v>
      </c>
      <c r="N132" s="46">
        <f t="shared" si="96"/>
        <v>24.020294947979377</v>
      </c>
      <c r="O132" s="46">
        <f t="shared" si="96"/>
        <v>27.462499999999991</v>
      </c>
      <c r="P132" s="46">
        <f t="shared" si="96"/>
        <v>18.658892128279881</v>
      </c>
      <c r="Q132" s="46">
        <f t="shared" si="96"/>
        <v>31.561407395278501</v>
      </c>
      <c r="R132" s="46">
        <f t="shared" si="96"/>
        <v>33.959274026186378</v>
      </c>
      <c r="S132" s="46">
        <f t="shared" si="96"/>
        <v>22.010115733121985</v>
      </c>
      <c r="T132" s="47">
        <f t="shared" si="96"/>
        <v>17.14677640603567</v>
      </c>
      <c r="U132" s="48">
        <f t="shared" si="96"/>
        <v>20.463397412536448</v>
      </c>
      <c r="V132" s="11"/>
      <c r="W132" s="15"/>
      <c r="X132" s="46">
        <f t="shared" si="96"/>
        <v>24.4140625</v>
      </c>
      <c r="Y132" s="46">
        <f t="shared" si="96"/>
        <v>17.315986800657328</v>
      </c>
      <c r="Z132" s="46">
        <f t="shared" si="96"/>
        <v>39.844301000154488</v>
      </c>
      <c r="AA132" s="46">
        <f t="shared" si="96"/>
        <v>49.887244249456707</v>
      </c>
      <c r="AB132" s="46">
        <f t="shared" si="96"/>
        <v>53.637695312499979</v>
      </c>
      <c r="AC132" s="46">
        <f t="shared" si="96"/>
        <v>22.010115733121985</v>
      </c>
      <c r="AD132" s="47">
        <f t="shared" si="96"/>
        <v>35.742338290087631</v>
      </c>
      <c r="AE132" s="48">
        <f t="shared" si="96"/>
        <v>4.1477014110150243</v>
      </c>
      <c r="AF132" s="45">
        <f t="shared" si="96"/>
        <v>45.907871720116603</v>
      </c>
      <c r="AG132" s="46">
        <f t="shared" si="96"/>
        <v>7.4241497188813748</v>
      </c>
      <c r="AH132" s="46">
        <f t="shared" si="96"/>
        <v>91.896004801097419</v>
      </c>
      <c r="AI132" s="46">
        <f t="shared" si="96"/>
        <v>25.770097670924102</v>
      </c>
      <c r="AJ132" s="46">
        <f t="shared" si="96"/>
        <v>55.851821697537154</v>
      </c>
      <c r="AK132" s="46">
        <f t="shared" si="96"/>
        <v>32.363023377210624</v>
      </c>
      <c r="AL132" s="46">
        <f t="shared" si="96"/>
        <v>53.212001312066924</v>
      </c>
      <c r="AM132" s="46">
        <f t="shared" si="96"/>
        <v>48.505830903790084</v>
      </c>
      <c r="AN132" s="47">
        <f t="shared" si="96"/>
        <v>40.270186618115602</v>
      </c>
      <c r="AO132" s="48">
        <f t="shared" si="96"/>
        <v>50.551906475345596</v>
      </c>
    </row>
    <row r="133" spans="1:41" ht="19" x14ac:dyDescent="0.2">
      <c r="A133" s="1" t="s">
        <v>43</v>
      </c>
      <c r="B133" s="11">
        <f t="shared" si="96"/>
        <v>11.71898326960307</v>
      </c>
      <c r="C133" s="46">
        <f t="shared" si="96"/>
        <v>17.387148301407436</v>
      </c>
      <c r="D133" s="46">
        <f t="shared" si="96"/>
        <v>1.7965122556959294</v>
      </c>
      <c r="E133" s="46">
        <f t="shared" si="96"/>
        <v>16.730273950479823</v>
      </c>
      <c r="F133" s="46">
        <f t="shared" si="96"/>
        <v>35.619088956451705</v>
      </c>
      <c r="G133" s="46">
        <f t="shared" si="96"/>
        <v>28.694027334983573</v>
      </c>
      <c r="H133" s="46">
        <f t="shared" si="96"/>
        <v>4.7089334705075458</v>
      </c>
      <c r="I133" s="46">
        <f t="shared" si="96"/>
        <v>22.552806772417195</v>
      </c>
      <c r="J133" s="47">
        <f t="shared" si="96"/>
        <v>11.779029181838059</v>
      </c>
      <c r="K133" s="48">
        <f t="shared" si="96"/>
        <v>22.552806772417195</v>
      </c>
      <c r="L133" s="45">
        <f t="shared" si="96"/>
        <v>42.187499999999979</v>
      </c>
      <c r="M133" s="46">
        <f t="shared" si="96"/>
        <v>52.945306814909564</v>
      </c>
      <c r="N133" s="46">
        <f t="shared" si="96"/>
        <v>5.4172507057824815</v>
      </c>
      <c r="O133" s="46">
        <f t="shared" si="96"/>
        <v>42.1875</v>
      </c>
      <c r="P133" s="46">
        <f t="shared" si="96"/>
        <v>24.834985422740537</v>
      </c>
      <c r="Q133" s="46">
        <f t="shared" si="96"/>
        <v>44.938019513980507</v>
      </c>
      <c r="R133" s="46">
        <f t="shared" si="96"/>
        <v>74.608525035531443</v>
      </c>
      <c r="S133" s="46">
        <f t="shared" si="96"/>
        <v>46.293920484695413</v>
      </c>
      <c r="T133" s="47">
        <f t="shared" si="96"/>
        <v>47.050754458161869</v>
      </c>
      <c r="U133" s="48">
        <f t="shared" si="96"/>
        <v>31.245444606413997</v>
      </c>
      <c r="V133" s="11"/>
      <c r="W133" s="15"/>
      <c r="X133" s="46">
        <f t="shared" si="96"/>
        <v>19.849537037037042</v>
      </c>
      <c r="Y133" s="46">
        <f t="shared" si="96"/>
        <v>9.6712940730721986</v>
      </c>
      <c r="Z133" s="46">
        <f t="shared" si="96"/>
        <v>28.798941408007963</v>
      </c>
      <c r="AA133" s="46">
        <f t="shared" si="96"/>
        <v>43.659026610357124</v>
      </c>
      <c r="AB133" s="46">
        <f t="shared" si="96"/>
        <v>38.768627025462976</v>
      </c>
      <c r="AC133" s="46">
        <f t="shared" si="96"/>
        <v>14.745058000900071</v>
      </c>
      <c r="AD133" s="47">
        <f t="shared" si="96"/>
        <v>26.853747776174025</v>
      </c>
      <c r="AE133" s="48">
        <f t="shared" si="96"/>
        <v>5.6895766954938587</v>
      </c>
      <c r="AF133" s="45">
        <f t="shared" si="96"/>
        <v>66.175218658892092</v>
      </c>
      <c r="AG133" s="46">
        <f t="shared" si="96"/>
        <v>16.703347549077801</v>
      </c>
      <c r="AH133" s="46">
        <f t="shared" si="96"/>
        <v>117.60973936899863</v>
      </c>
      <c r="AI133" s="46">
        <f t="shared" si="96"/>
        <v>48.907810891281962</v>
      </c>
      <c r="AJ133" s="46">
        <f t="shared" si="96"/>
        <v>83.370649297781398</v>
      </c>
      <c r="AK133" s="46">
        <f t="shared" si="96"/>
        <v>55.317642130182222</v>
      </c>
      <c r="AL133" s="46">
        <f t="shared" si="96"/>
        <v>67.987104842346952</v>
      </c>
      <c r="AM133" s="46">
        <f t="shared" si="96"/>
        <v>89.663811953352777</v>
      </c>
      <c r="AN133" s="47">
        <f t="shared" si="96"/>
        <v>67.43486572598998</v>
      </c>
      <c r="AO133" s="48">
        <f t="shared" si="96"/>
        <v>85.508255469157035</v>
      </c>
    </row>
    <row r="134" spans="1:41" ht="20" thickBot="1" x14ac:dyDescent="0.25">
      <c r="A134" s="1" t="s">
        <v>53</v>
      </c>
      <c r="B134" s="11">
        <f t="shared" si="96"/>
        <v>10.255916319120042</v>
      </c>
      <c r="C134" s="46">
        <f t="shared" si="96"/>
        <v>17.387148301407436</v>
      </c>
      <c r="D134" s="46">
        <f t="shared" si="96"/>
        <v>1.7965122556959294</v>
      </c>
      <c r="E134" s="46">
        <f t="shared" si="96"/>
        <v>25.3219321881189</v>
      </c>
      <c r="F134" s="46">
        <f t="shared" si="96"/>
        <v>58.31100582306874</v>
      </c>
      <c r="G134" s="46">
        <f t="shared" si="96"/>
        <v>44.938019513980507</v>
      </c>
      <c r="H134" s="46">
        <f t="shared" si="96"/>
        <v>4.7089334705075458</v>
      </c>
      <c r="I134" s="46">
        <f t="shared" si="96"/>
        <v>22.552806772417195</v>
      </c>
      <c r="J134" s="47">
        <f t="shared" si="96"/>
        <v>13.24980588159908</v>
      </c>
      <c r="K134" s="48">
        <f t="shared" si="96"/>
        <v>22.552806772417195</v>
      </c>
      <c r="L134" s="45">
        <f t="shared" si="96"/>
        <v>30.492575102412374</v>
      </c>
      <c r="M134" s="46">
        <f t="shared" si="96"/>
        <v>57.481109098414265</v>
      </c>
      <c r="N134" s="46">
        <f t="shared" si="96"/>
        <v>24.020294947979377</v>
      </c>
      <c r="O134" s="46">
        <f t="shared" si="96"/>
        <v>31.907870370370357</v>
      </c>
      <c r="P134" s="46">
        <f t="shared" si="96"/>
        <v>18.658892128279881</v>
      </c>
      <c r="Q134" s="46">
        <f t="shared" si="96"/>
        <v>48.787840844514228</v>
      </c>
      <c r="R134" s="46">
        <f t="shared" si="96"/>
        <v>58.681625517250048</v>
      </c>
      <c r="S134" s="46">
        <f t="shared" si="96"/>
        <v>36.857271438838765</v>
      </c>
      <c r="T134" s="47">
        <f t="shared" si="96"/>
        <v>26.078103566529503</v>
      </c>
      <c r="U134" s="48">
        <f t="shared" si="96"/>
        <v>42.187500000000021</v>
      </c>
      <c r="V134" s="11"/>
      <c r="W134" s="15"/>
      <c r="X134" s="46">
        <f t="shared" si="96"/>
        <v>24.4140625</v>
      </c>
      <c r="Y134" s="46">
        <f t="shared" si="96"/>
        <v>14.436450628026137</v>
      </c>
      <c r="Z134" s="46">
        <f t="shared" si="96"/>
        <v>26.400317040241273</v>
      </c>
      <c r="AA134" s="46">
        <f t="shared" ref="AA134:AO139" si="97">(AA104)^3*100</f>
        <v>43.659026610357124</v>
      </c>
      <c r="AB134" s="46">
        <f t="shared" si="97"/>
        <v>49.616608796296291</v>
      </c>
      <c r="AC134" s="46">
        <f t="shared" si="97"/>
        <v>20.01047844865224</v>
      </c>
      <c r="AD134" s="47">
        <f t="shared" si="97"/>
        <v>26.853747776174025</v>
      </c>
      <c r="AE134" s="48">
        <f t="shared" si="97"/>
        <v>2.9130632680928557</v>
      </c>
      <c r="AF134" s="45">
        <f t="shared" si="97"/>
        <v>56.883965014577242</v>
      </c>
      <c r="AG134" s="46">
        <f t="shared" si="97"/>
        <v>13.051392808111803</v>
      </c>
      <c r="AH134" s="46">
        <f t="shared" si="97"/>
        <v>91.896004801097419</v>
      </c>
      <c r="AI134" s="46">
        <f t="shared" si="97"/>
        <v>48.907810891281962</v>
      </c>
      <c r="AJ134" s="46">
        <f t="shared" si="97"/>
        <v>64.216628596844345</v>
      </c>
      <c r="AK134" s="46">
        <f t="shared" si="97"/>
        <v>41.560963283382591</v>
      </c>
      <c r="AL134" s="46">
        <f t="shared" si="97"/>
        <v>60.298187707573071</v>
      </c>
      <c r="AM134" s="46">
        <f t="shared" si="97"/>
        <v>71.178024781341122</v>
      </c>
      <c r="AN134" s="47">
        <f t="shared" si="97"/>
        <v>51.20000000000001</v>
      </c>
      <c r="AO134" s="48">
        <f t="shared" si="97"/>
        <v>64.588395113424454</v>
      </c>
    </row>
    <row r="135" spans="1:41" ht="20" thickBot="1" x14ac:dyDescent="0.25">
      <c r="A135" s="1" t="s">
        <v>54</v>
      </c>
      <c r="B135" s="11">
        <f t="shared" ref="B135:U139" si="98">(B105)^3*100</f>
        <v>16.928811535016315</v>
      </c>
      <c r="C135" s="46">
        <f t="shared" si="98"/>
        <v>19.652357654043044</v>
      </c>
      <c r="D135" s="46">
        <f t="shared" si="98"/>
        <v>1.7965122556959294</v>
      </c>
      <c r="E135" s="46">
        <f t="shared" si="98"/>
        <v>30.545945991891145</v>
      </c>
      <c r="F135" s="46">
        <f t="shared" si="98"/>
        <v>58.31100582306874</v>
      </c>
      <c r="G135" s="46">
        <f t="shared" si="98"/>
        <v>34.613717577030123</v>
      </c>
      <c r="H135" s="46">
        <f t="shared" si="98"/>
        <v>7.2337962962963038</v>
      </c>
      <c r="I135" s="46">
        <f t="shared" si="98"/>
        <v>27.7389660557245</v>
      </c>
      <c r="J135" s="47">
        <f t="shared" si="98"/>
        <v>16.548687910381382</v>
      </c>
      <c r="K135" s="48">
        <f t="shared" si="98"/>
        <v>27.7389660557245</v>
      </c>
      <c r="L135" s="45">
        <f t="shared" si="98"/>
        <v>49.016414428766467</v>
      </c>
      <c r="M135" s="46">
        <f t="shared" si="98"/>
        <v>96.666945638744352</v>
      </c>
      <c r="N135" s="46">
        <f t="shared" si="98"/>
        <v>53.303851696839267</v>
      </c>
      <c r="O135" s="46">
        <f t="shared" si="98"/>
        <v>51.199999999999989</v>
      </c>
      <c r="P135" s="46">
        <f t="shared" si="98"/>
        <v>28.377842565597668</v>
      </c>
      <c r="Q135" s="46">
        <f t="shared" si="98"/>
        <v>61.643373818903328</v>
      </c>
      <c r="R135" s="46">
        <f t="shared" si="98"/>
        <v>107.1402518017281</v>
      </c>
      <c r="S135" s="46">
        <f t="shared" si="98"/>
        <v>61.20824573305481</v>
      </c>
      <c r="T135" s="47">
        <f t="shared" si="98"/>
        <v>47.050754458161869</v>
      </c>
      <c r="U135" s="48">
        <f t="shared" si="98"/>
        <v>45.273209730320708</v>
      </c>
      <c r="V135" s="11"/>
      <c r="W135" s="15"/>
      <c r="X135" s="46">
        <f t="shared" ref="X135:Z139" si="99">(X105)^3*100</f>
        <v>29.62962962962964</v>
      </c>
      <c r="Y135" s="46">
        <f t="shared" si="99"/>
        <v>14.436450628026137</v>
      </c>
      <c r="Z135" s="46">
        <f t="shared" si="99"/>
        <v>26.400317040241273</v>
      </c>
      <c r="AA135" s="46">
        <f t="shared" si="97"/>
        <v>49.887244249456707</v>
      </c>
      <c r="AB135" s="46">
        <f t="shared" si="97"/>
        <v>62.320059317129626</v>
      </c>
      <c r="AC135" s="46">
        <f t="shared" si="97"/>
        <v>20.01047844865224</v>
      </c>
      <c r="AD135" s="47">
        <f t="shared" si="97"/>
        <v>31.086569769393435</v>
      </c>
      <c r="AE135" s="48">
        <f t="shared" si="97"/>
        <v>5.6895766954938587</v>
      </c>
      <c r="AF135" s="107" t="s">
        <v>52</v>
      </c>
      <c r="AG135" s="110"/>
      <c r="AH135" s="110"/>
      <c r="AI135" s="110"/>
      <c r="AJ135" s="110"/>
      <c r="AK135" s="110"/>
      <c r="AL135" s="110"/>
      <c r="AM135" s="110"/>
      <c r="AN135" s="110"/>
      <c r="AO135" s="111"/>
    </row>
    <row r="136" spans="1:41" ht="19" x14ac:dyDescent="0.2">
      <c r="A136" s="1" t="s">
        <v>55</v>
      </c>
      <c r="B136" s="11">
        <f t="shared" si="98"/>
        <v>18.958226982460538</v>
      </c>
      <c r="C136" s="46">
        <f t="shared" si="98"/>
        <v>24.756310765089882</v>
      </c>
      <c r="D136" s="46">
        <f t="shared" si="98"/>
        <v>2.9653925062088327</v>
      </c>
      <c r="E136" s="46">
        <f t="shared" si="98"/>
        <v>36.443148688046669</v>
      </c>
      <c r="F136" s="46">
        <f t="shared" si="98"/>
        <v>82.189035755792133</v>
      </c>
      <c r="G136" s="46">
        <f t="shared" si="98"/>
        <v>41.296244570085619</v>
      </c>
      <c r="H136" s="46">
        <f t="shared" si="98"/>
        <v>4.7089334705075458</v>
      </c>
      <c r="I136" s="46">
        <f t="shared" si="98"/>
        <v>27.7389660557245</v>
      </c>
      <c r="J136" s="47">
        <f t="shared" si="98"/>
        <v>18.385839533814305</v>
      </c>
      <c r="K136" s="48">
        <f t="shared" si="98"/>
        <v>30.606353250595873</v>
      </c>
      <c r="L136" s="45">
        <f t="shared" si="98"/>
        <v>42.187499999999979</v>
      </c>
      <c r="M136" s="46">
        <f t="shared" si="98"/>
        <v>78.211666044889895</v>
      </c>
      <c r="N136" s="46">
        <f t="shared" si="98"/>
        <v>4.3373541547391081</v>
      </c>
      <c r="O136" s="46">
        <f t="shared" si="98"/>
        <v>57.870370370370381</v>
      </c>
      <c r="P136" s="46">
        <f t="shared" si="98"/>
        <v>21.599999999999984</v>
      </c>
      <c r="Q136" s="46">
        <f t="shared" si="98"/>
        <v>57.134738930680072</v>
      </c>
      <c r="R136" s="46">
        <f t="shared" si="98"/>
        <v>74.608525035531443</v>
      </c>
      <c r="S136" s="46">
        <f t="shared" si="98"/>
        <v>46.293920484695413</v>
      </c>
      <c r="T136" s="47">
        <f t="shared" si="98"/>
        <v>37.67146776406036</v>
      </c>
      <c r="U136" s="48">
        <f t="shared" si="98"/>
        <v>39.245285167638478</v>
      </c>
      <c r="V136" s="11"/>
      <c r="W136" s="15"/>
      <c r="X136" s="46">
        <f t="shared" si="99"/>
        <v>32.4951171875</v>
      </c>
      <c r="Y136" s="46">
        <f t="shared" si="99"/>
        <v>20.555024429357534</v>
      </c>
      <c r="Z136" s="46">
        <f t="shared" si="99"/>
        <v>34.023388434748156</v>
      </c>
      <c r="AA136" s="46">
        <f t="shared" si="97"/>
        <v>60.298187707573071</v>
      </c>
      <c r="AB136" s="46">
        <f t="shared" si="97"/>
        <v>57.870370370370381</v>
      </c>
      <c r="AC136" s="46">
        <f t="shared" si="97"/>
        <v>20.01047844865224</v>
      </c>
      <c r="AD136" s="47">
        <f t="shared" si="97"/>
        <v>46.403276157228731</v>
      </c>
      <c r="AE136" s="48">
        <f t="shared" si="97"/>
        <v>2.9130632680928557</v>
      </c>
      <c r="AF136" s="11"/>
      <c r="AG136" s="15"/>
      <c r="AH136" s="15"/>
      <c r="AI136" s="15"/>
      <c r="AJ136" s="15"/>
      <c r="AK136" s="15"/>
      <c r="AL136" s="15"/>
      <c r="AM136" s="15"/>
      <c r="AN136" s="51"/>
      <c r="AO136" s="52"/>
    </row>
    <row r="137" spans="1:41" ht="19" x14ac:dyDescent="0.2">
      <c r="A137" s="1" t="s">
        <v>56</v>
      </c>
      <c r="B137" s="11">
        <f t="shared" si="98"/>
        <v>28.694027334983573</v>
      </c>
      <c r="C137" s="46">
        <f t="shared" si="98"/>
        <v>30.675286452765178</v>
      </c>
      <c r="D137" s="46">
        <f t="shared" si="98"/>
        <v>1.3497462477054312</v>
      </c>
      <c r="E137" s="46">
        <f t="shared" si="98"/>
        <v>50.420318064751925</v>
      </c>
      <c r="F137" s="46">
        <f t="shared" si="98"/>
        <v>129.00723877827102</v>
      </c>
      <c r="G137" s="46">
        <f t="shared" si="98"/>
        <v>48.787840844514228</v>
      </c>
      <c r="H137" s="46">
        <f t="shared" si="98"/>
        <v>5.8813443072702363</v>
      </c>
      <c r="I137" s="46">
        <f t="shared" si="98"/>
        <v>33.664831100517809</v>
      </c>
      <c r="J137" s="47">
        <f t="shared" si="98"/>
        <v>20.354162426216163</v>
      </c>
      <c r="K137" s="48">
        <f t="shared" si="98"/>
        <v>36.920563820169306</v>
      </c>
      <c r="L137" s="45">
        <f t="shared" si="98"/>
        <v>60.58261265361854</v>
      </c>
      <c r="M137" s="46">
        <f t="shared" si="98"/>
        <v>90.224676546060863</v>
      </c>
      <c r="N137" s="46">
        <f t="shared" si="98"/>
        <v>38.858507886995831</v>
      </c>
      <c r="O137" s="46">
        <f t="shared" si="98"/>
        <v>90.329629629629622</v>
      </c>
      <c r="P137" s="46">
        <f t="shared" si="98"/>
        <v>28.377842565597668</v>
      </c>
      <c r="Q137" s="46">
        <f t="shared" si="98"/>
        <v>66.383171358947422</v>
      </c>
      <c r="R137" s="46">
        <f t="shared" si="98"/>
        <v>107.1402518017281</v>
      </c>
      <c r="S137" s="46">
        <f t="shared" si="98"/>
        <v>65.380146026585678</v>
      </c>
      <c r="T137" s="47">
        <f t="shared" si="98"/>
        <v>70.23319615912213</v>
      </c>
      <c r="U137" s="48">
        <f t="shared" si="98"/>
        <v>59.119328534985449</v>
      </c>
      <c r="V137" s="11"/>
      <c r="W137" s="15"/>
      <c r="X137" s="46">
        <f t="shared" si="99"/>
        <v>32.4951171875</v>
      </c>
      <c r="Y137" s="46">
        <f t="shared" si="99"/>
        <v>28.19619263286355</v>
      </c>
      <c r="Z137" s="46">
        <f t="shared" si="99"/>
        <v>34.023388434748156</v>
      </c>
      <c r="AA137" s="46">
        <f t="shared" si="97"/>
        <v>67.987104842346952</v>
      </c>
      <c r="AB137" s="46">
        <f t="shared" si="97"/>
        <v>71.892180266203709</v>
      </c>
      <c r="AC137" s="46">
        <f t="shared" si="97"/>
        <v>31.338621815324053</v>
      </c>
      <c r="AD137" s="47">
        <f t="shared" si="97"/>
        <v>81.867006814138549</v>
      </c>
      <c r="AE137" s="48">
        <f t="shared" si="97"/>
        <v>4.1477014110150243</v>
      </c>
      <c r="AF137" s="11"/>
      <c r="AG137" s="15"/>
      <c r="AH137" s="15"/>
      <c r="AI137" s="15"/>
      <c r="AJ137" s="15"/>
      <c r="AK137" s="15"/>
      <c r="AL137" s="15"/>
      <c r="AM137" s="15"/>
      <c r="AN137" s="51"/>
      <c r="AO137" s="52"/>
    </row>
    <row r="138" spans="1:41" ht="19" x14ac:dyDescent="0.2">
      <c r="A138" s="1" t="s">
        <v>57</v>
      </c>
      <c r="B138" s="11">
        <f t="shared" si="98"/>
        <v>76.579370659680379</v>
      </c>
      <c r="C138" s="46">
        <f t="shared" si="98"/>
        <v>74.608525035531443</v>
      </c>
      <c r="D138" s="46">
        <f t="shared" si="98"/>
        <v>3.7037037037037051</v>
      </c>
      <c r="E138" s="46">
        <f t="shared" si="98"/>
        <v>94.001648972791969</v>
      </c>
      <c r="F138" s="46">
        <f t="shared" si="98"/>
        <v>179.44543940743017</v>
      </c>
      <c r="G138" s="46">
        <f t="shared" si="98"/>
        <v>82.047330552960275</v>
      </c>
      <c r="H138" s="46">
        <f t="shared" si="98"/>
        <v>10.530264060356656</v>
      </c>
      <c r="I138" s="46">
        <f t="shared" si="98"/>
        <v>65.751623243198836</v>
      </c>
      <c r="J138" s="47">
        <f t="shared" si="98"/>
        <v>32.321656074963627</v>
      </c>
      <c r="K138" s="48">
        <f t="shared" si="98"/>
        <v>60.942508424426734</v>
      </c>
      <c r="L138" s="45">
        <f t="shared" si="98"/>
        <v>88.899635867091462</v>
      </c>
      <c r="M138" s="46">
        <f t="shared" si="98"/>
        <v>133.50828192445334</v>
      </c>
      <c r="N138" s="46">
        <f t="shared" si="98"/>
        <v>108.3292203818135</v>
      </c>
      <c r="O138" s="46">
        <f t="shared" si="98"/>
        <v>68.924537037037027</v>
      </c>
      <c r="P138" s="46">
        <f t="shared" si="98"/>
        <v>45.907871720116624</v>
      </c>
      <c r="Q138" s="46">
        <f t="shared" si="98"/>
        <v>127.76648719455224</v>
      </c>
      <c r="R138" s="46">
        <f t="shared" si="98"/>
        <v>176.84983712125981</v>
      </c>
      <c r="S138" s="46">
        <f t="shared" si="98"/>
        <v>89.101070010814297</v>
      </c>
      <c r="T138" s="47">
        <f t="shared" si="98"/>
        <v>70.23319615912213</v>
      </c>
      <c r="U138" s="48">
        <f t="shared" si="98"/>
        <v>80.065597667638528</v>
      </c>
      <c r="V138" s="11"/>
      <c r="W138" s="15"/>
      <c r="X138" s="46">
        <f t="shared" si="99"/>
        <v>53.637695312499979</v>
      </c>
      <c r="Y138" s="46">
        <f t="shared" si="99"/>
        <v>61.94703521440119</v>
      </c>
      <c r="Z138" s="46">
        <f t="shared" si="99"/>
        <v>61.20824573305481</v>
      </c>
      <c r="AA138" s="46">
        <f t="shared" si="97"/>
        <v>122.14932961581044</v>
      </c>
      <c r="AB138" s="46">
        <f t="shared" si="97"/>
        <v>88.013599537037024</v>
      </c>
      <c r="AC138" s="46">
        <f t="shared" si="97"/>
        <v>49.764570753037752</v>
      </c>
      <c r="AD138" s="47">
        <f t="shared" si="97"/>
        <v>156.61105703064686</v>
      </c>
      <c r="AE138" s="48">
        <f t="shared" si="97"/>
        <v>23.304506144742835</v>
      </c>
      <c r="AF138" s="11"/>
      <c r="AG138" s="15"/>
      <c r="AH138" s="15"/>
      <c r="AI138" s="15"/>
      <c r="AJ138" s="15"/>
      <c r="AK138" s="15"/>
      <c r="AL138" s="15"/>
      <c r="AM138" s="15"/>
      <c r="AN138" s="51"/>
      <c r="AO138" s="52"/>
    </row>
    <row r="139" spans="1:41" ht="20" thickBot="1" x14ac:dyDescent="0.25">
      <c r="A139" s="1" t="s">
        <v>60</v>
      </c>
      <c r="B139" s="11">
        <f t="shared" si="98"/>
        <v>61.643373818903328</v>
      </c>
      <c r="C139" s="46">
        <f t="shared" si="98"/>
        <v>63.708855824015522</v>
      </c>
      <c r="D139" s="46">
        <f t="shared" si="98"/>
        <v>5.5285606306014454</v>
      </c>
      <c r="E139" s="46">
        <f t="shared" si="98"/>
        <v>72.405205314112322</v>
      </c>
      <c r="F139" s="46">
        <f t="shared" si="98"/>
        <v>168.46212977066719</v>
      </c>
      <c r="G139" s="46">
        <f t="shared" si="98"/>
        <v>82.047330552960275</v>
      </c>
      <c r="H139" s="46">
        <f t="shared" si="98"/>
        <v>8.7791495198902609</v>
      </c>
      <c r="I139" s="46">
        <f t="shared" si="98"/>
        <v>44.048450727377336</v>
      </c>
      <c r="J139" s="47">
        <f t="shared" si="98"/>
        <v>35.171992672501517</v>
      </c>
      <c r="K139" s="48">
        <f t="shared" si="98"/>
        <v>56.373797978137588</v>
      </c>
      <c r="L139" s="45">
        <f t="shared" si="98"/>
        <v>111.98793809740553</v>
      </c>
      <c r="M139" s="46">
        <f t="shared" si="98"/>
        <v>133.50828192445334</v>
      </c>
      <c r="N139" s="46">
        <f t="shared" si="98"/>
        <v>126.34987068880417</v>
      </c>
      <c r="O139" s="46">
        <f t="shared" si="98"/>
        <v>90.329629629629622</v>
      </c>
      <c r="P139" s="46">
        <f t="shared" si="98"/>
        <v>51.199999999999989</v>
      </c>
      <c r="Q139" s="46">
        <f t="shared" si="98"/>
        <v>100</v>
      </c>
      <c r="R139" s="46">
        <f t="shared" si="98"/>
        <v>139.0971864112594</v>
      </c>
      <c r="S139" s="46">
        <f t="shared" si="98"/>
        <v>83.961928303230181</v>
      </c>
      <c r="T139" s="47">
        <f t="shared" si="98"/>
        <v>14.701217421124838</v>
      </c>
      <c r="U139" s="48">
        <f t="shared" si="98"/>
        <v>89.663811953352777</v>
      </c>
      <c r="V139" s="11"/>
      <c r="W139" s="15"/>
      <c r="X139" s="46">
        <f t="shared" si="99"/>
        <v>53.637695312499979</v>
      </c>
      <c r="Y139" s="46">
        <f t="shared" si="99"/>
        <v>48.723020869588247</v>
      </c>
      <c r="Z139" s="46">
        <f t="shared" si="99"/>
        <v>61.20824573305481</v>
      </c>
      <c r="AA139" s="46">
        <f t="shared" si="97"/>
        <v>100</v>
      </c>
      <c r="AB139" s="46">
        <f t="shared" si="97"/>
        <v>82.3974609375</v>
      </c>
      <c r="AC139" s="46">
        <f t="shared" si="97"/>
        <v>36.857271438838765</v>
      </c>
      <c r="AD139" s="47">
        <f t="shared" si="97"/>
        <v>156.61105703064686</v>
      </c>
      <c r="AE139" s="48">
        <f t="shared" si="97"/>
        <v>7.5728265817023273</v>
      </c>
      <c r="AF139" s="11"/>
      <c r="AG139" s="15"/>
      <c r="AH139" s="15"/>
      <c r="AI139" s="15"/>
      <c r="AJ139" s="15"/>
      <c r="AK139" s="15"/>
      <c r="AL139" s="15"/>
      <c r="AM139" s="15"/>
      <c r="AN139" s="15"/>
      <c r="AO139" s="10"/>
    </row>
    <row r="140" spans="1:41" ht="19" thickBot="1" x14ac:dyDescent="0.25">
      <c r="B140" s="107" t="s">
        <v>66</v>
      </c>
      <c r="C140" s="108"/>
      <c r="D140" s="108"/>
      <c r="E140" s="108"/>
      <c r="F140" s="108"/>
      <c r="G140" s="108"/>
      <c r="H140" s="108"/>
      <c r="I140" s="108"/>
      <c r="J140" s="108"/>
      <c r="K140" s="109"/>
      <c r="L140" s="107" t="s">
        <v>66</v>
      </c>
      <c r="M140" s="108"/>
      <c r="N140" s="108"/>
      <c r="O140" s="108"/>
      <c r="P140" s="108"/>
      <c r="Q140" s="108"/>
      <c r="R140" s="108"/>
      <c r="S140" s="108"/>
      <c r="T140" s="108"/>
      <c r="U140" s="109"/>
      <c r="V140" s="11"/>
      <c r="W140" s="15"/>
      <c r="X140" s="107" t="s">
        <v>66</v>
      </c>
      <c r="Y140" s="110"/>
      <c r="Z140" s="110"/>
      <c r="AA140" s="110"/>
      <c r="AB140" s="110"/>
      <c r="AC140" s="110"/>
      <c r="AD140" s="110"/>
      <c r="AE140" s="111"/>
      <c r="AF140" s="11"/>
      <c r="AG140" s="15"/>
      <c r="AH140" s="15"/>
      <c r="AI140" s="15"/>
      <c r="AJ140" s="15"/>
      <c r="AK140" s="15"/>
      <c r="AL140" s="15"/>
      <c r="AM140" s="15"/>
      <c r="AN140" s="15"/>
      <c r="AO140" s="10"/>
    </row>
    <row r="141" spans="1:41" ht="19" thickBot="1" x14ac:dyDescent="0.25">
      <c r="B141" s="12"/>
      <c r="C141" s="13"/>
      <c r="D141" s="13"/>
      <c r="E141" s="13"/>
      <c r="F141" s="13"/>
      <c r="G141" s="13"/>
      <c r="H141" s="13"/>
      <c r="I141" s="13"/>
      <c r="J141" s="13"/>
      <c r="K141" s="14"/>
      <c r="L141" s="12"/>
      <c r="M141" s="13"/>
      <c r="N141" s="13"/>
      <c r="O141" s="13"/>
      <c r="P141" s="13"/>
      <c r="Q141" s="13"/>
      <c r="R141" s="13"/>
      <c r="S141" s="13"/>
      <c r="T141" s="13"/>
      <c r="U141" s="14"/>
      <c r="V141" s="12"/>
      <c r="W141" s="13"/>
      <c r="X141" s="13"/>
      <c r="Y141" s="13"/>
      <c r="Z141" s="13"/>
      <c r="AA141" s="13"/>
      <c r="AB141" s="13"/>
      <c r="AC141" s="13"/>
      <c r="AD141" s="13"/>
      <c r="AE141" s="14"/>
      <c r="AF141" s="12"/>
      <c r="AG141" s="13"/>
      <c r="AH141" s="13"/>
      <c r="AI141" s="13"/>
      <c r="AJ141" s="13"/>
      <c r="AK141" s="13"/>
      <c r="AL141" s="13"/>
      <c r="AM141" s="13"/>
      <c r="AN141" s="13"/>
      <c r="AO141" s="14"/>
    </row>
    <row r="147" spans="2:41" ht="19" thickBot="1" x14ac:dyDescent="0.25">
      <c r="B147" s="161" t="s">
        <v>67</v>
      </c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</row>
    <row r="148" spans="2:41" ht="19" thickBot="1" x14ac:dyDescent="0.25">
      <c r="B148" s="148" t="s">
        <v>15</v>
      </c>
      <c r="C148" s="149"/>
      <c r="D148" s="149"/>
      <c r="E148" s="149"/>
      <c r="F148" s="149"/>
      <c r="G148" s="149"/>
      <c r="H148" s="149"/>
      <c r="I148" s="149"/>
      <c r="J148" s="149"/>
      <c r="K148" s="150"/>
      <c r="L148" s="148" t="s">
        <v>27</v>
      </c>
      <c r="M148" s="149"/>
      <c r="N148" s="149"/>
      <c r="O148" s="149"/>
      <c r="P148" s="149"/>
      <c r="Q148" s="149"/>
      <c r="R148" s="149"/>
      <c r="S148" s="149"/>
      <c r="T148" s="149"/>
      <c r="U148" s="150"/>
      <c r="V148" s="148" t="s">
        <v>28</v>
      </c>
      <c r="W148" s="149"/>
      <c r="X148" s="149"/>
      <c r="Y148" s="149"/>
      <c r="Z148" s="149"/>
      <c r="AA148" s="149"/>
      <c r="AB148" s="149"/>
      <c r="AC148" s="149"/>
      <c r="AD148" s="149"/>
      <c r="AE148" s="150"/>
      <c r="AF148" s="148" t="s">
        <v>22</v>
      </c>
      <c r="AG148" s="149"/>
      <c r="AH148" s="149"/>
      <c r="AI148" s="149"/>
      <c r="AJ148" s="149"/>
      <c r="AK148" s="149"/>
      <c r="AL148" s="149"/>
      <c r="AM148" s="149"/>
      <c r="AN148" s="149"/>
      <c r="AO148" s="150"/>
    </row>
    <row r="149" spans="2:41" x14ac:dyDescent="0.2">
      <c r="B149" s="56">
        <f>B108/B$108</f>
        <v>1</v>
      </c>
      <c r="C149" s="57">
        <f t="shared" ref="C149:U149" si="100">C108/C$108</f>
        <v>1</v>
      </c>
      <c r="D149" s="57">
        <f t="shared" si="100"/>
        <v>1</v>
      </c>
      <c r="E149" s="57">
        <f t="shared" si="100"/>
        <v>1</v>
      </c>
      <c r="F149" s="57">
        <f t="shared" si="100"/>
        <v>1</v>
      </c>
      <c r="G149" s="57">
        <f t="shared" si="100"/>
        <v>1</v>
      </c>
      <c r="H149" s="57">
        <f t="shared" si="100"/>
        <v>1</v>
      </c>
      <c r="I149" s="57">
        <f t="shared" si="100"/>
        <v>1</v>
      </c>
      <c r="J149" s="57">
        <f t="shared" si="100"/>
        <v>1</v>
      </c>
      <c r="K149" s="58">
        <f t="shared" si="100"/>
        <v>1</v>
      </c>
      <c r="L149" s="56">
        <f t="shared" si="100"/>
        <v>1</v>
      </c>
      <c r="M149" s="57">
        <f t="shared" si="100"/>
        <v>1</v>
      </c>
      <c r="N149" s="57">
        <f t="shared" si="100"/>
        <v>1</v>
      </c>
      <c r="O149" s="57">
        <f t="shared" si="100"/>
        <v>1</v>
      </c>
      <c r="P149" s="57">
        <f t="shared" si="100"/>
        <v>1</v>
      </c>
      <c r="Q149" s="57">
        <f t="shared" si="100"/>
        <v>1</v>
      </c>
      <c r="R149" s="57">
        <f t="shared" si="100"/>
        <v>1</v>
      </c>
      <c r="S149" s="57">
        <f t="shared" si="100"/>
        <v>1</v>
      </c>
      <c r="T149" s="57">
        <f t="shared" si="100"/>
        <v>1</v>
      </c>
      <c r="U149" s="58">
        <f t="shared" si="100"/>
        <v>1</v>
      </c>
      <c r="X149" s="56">
        <f>X108/X$108</f>
        <v>1</v>
      </c>
      <c r="Y149" s="57">
        <f t="shared" ref="Y149:AE149" si="101">Y108/Y$108</f>
        <v>1</v>
      </c>
      <c r="Z149" s="57">
        <f t="shared" si="101"/>
        <v>1</v>
      </c>
      <c r="AA149" s="57">
        <f t="shared" si="101"/>
        <v>1</v>
      </c>
      <c r="AB149" s="57">
        <f t="shared" si="101"/>
        <v>1</v>
      </c>
      <c r="AC149" s="57">
        <f t="shared" si="101"/>
        <v>1</v>
      </c>
      <c r="AD149" s="57">
        <f t="shared" si="101"/>
        <v>1</v>
      </c>
      <c r="AE149" s="58">
        <f t="shared" si="101"/>
        <v>1</v>
      </c>
    </row>
    <row r="150" spans="2:41" x14ac:dyDescent="0.2">
      <c r="B150" s="59">
        <f>B109/B$108</f>
        <v>0.93023255813953498</v>
      </c>
      <c r="C150" s="1">
        <f t="shared" ref="C150:U150" si="102">C109/C$108</f>
        <v>0.9487179487179489</v>
      </c>
      <c r="D150" s="1">
        <f t="shared" si="102"/>
        <v>1.1428571428571426</v>
      </c>
      <c r="E150" s="1">
        <f t="shared" si="102"/>
        <v>0.91666666666666663</v>
      </c>
      <c r="F150" s="1">
        <f t="shared" si="102"/>
        <v>0.97916666666666674</v>
      </c>
      <c r="G150" s="1">
        <f t="shared" si="102"/>
        <v>1</v>
      </c>
      <c r="H150" s="1">
        <f t="shared" si="102"/>
        <v>0.94117647058823528</v>
      </c>
      <c r="I150" s="1">
        <f t="shared" si="102"/>
        <v>0.875</v>
      </c>
      <c r="J150" s="1">
        <f t="shared" si="102"/>
        <v>1.0285714285714285</v>
      </c>
      <c r="K150" s="60">
        <f t="shared" si="102"/>
        <v>0.97435897435897434</v>
      </c>
      <c r="L150" s="59">
        <f t="shared" si="102"/>
        <v>1.0799999999999998</v>
      </c>
      <c r="M150" s="1">
        <f t="shared" si="102"/>
        <v>1</v>
      </c>
      <c r="N150" s="1">
        <f t="shared" si="102"/>
        <v>1.0526315789473684</v>
      </c>
      <c r="O150" s="1">
        <f t="shared" si="102"/>
        <v>1.0943396226415094</v>
      </c>
      <c r="P150" s="1">
        <f t="shared" si="102"/>
        <v>1.037037037037037</v>
      </c>
      <c r="Q150" s="1">
        <f t="shared" si="102"/>
        <v>0.92156862745098045</v>
      </c>
      <c r="R150" s="1">
        <f t="shared" si="102"/>
        <v>0.92307692307692291</v>
      </c>
      <c r="S150" s="1">
        <f t="shared" si="102"/>
        <v>0.98039215686274506</v>
      </c>
      <c r="T150" s="1">
        <f t="shared" si="102"/>
        <v>0.59375</v>
      </c>
      <c r="U150" s="60">
        <f t="shared" si="102"/>
        <v>1.0384615384615383</v>
      </c>
      <c r="X150" s="59">
        <f t="shared" ref="X150:AE150" si="103">X109/X$108</f>
        <v>1</v>
      </c>
      <c r="Y150" s="1">
        <f t="shared" si="103"/>
        <v>0.92307692307692335</v>
      </c>
      <c r="Z150" s="1">
        <f t="shared" si="103"/>
        <v>1</v>
      </c>
      <c r="AA150" s="1">
        <f t="shared" si="103"/>
        <v>0.93548387096774177</v>
      </c>
      <c r="AB150" s="1">
        <f t="shared" si="103"/>
        <v>0.97826086956521752</v>
      </c>
      <c r="AC150" s="1">
        <f t="shared" si="103"/>
        <v>0.90476190476190466</v>
      </c>
      <c r="AD150" s="1">
        <f t="shared" si="103"/>
        <v>1</v>
      </c>
      <c r="AE150" s="60">
        <f t="shared" si="103"/>
        <v>0.68750000000000011</v>
      </c>
    </row>
    <row r="151" spans="2:41" x14ac:dyDescent="0.2">
      <c r="B151" s="59"/>
      <c r="K151" s="60"/>
      <c r="L151" s="59"/>
      <c r="U151" s="60"/>
      <c r="X151" s="59"/>
      <c r="AE151" s="60"/>
    </row>
    <row r="152" spans="2:41" x14ac:dyDescent="0.2">
      <c r="B152" s="59"/>
      <c r="K152" s="60"/>
      <c r="L152" s="59"/>
      <c r="U152" s="60"/>
      <c r="X152" s="59"/>
      <c r="AE152" s="60"/>
    </row>
    <row r="153" spans="2:41" x14ac:dyDescent="0.2">
      <c r="B153" s="59"/>
      <c r="K153" s="60"/>
      <c r="L153" s="59"/>
      <c r="U153" s="60"/>
      <c r="X153" s="59"/>
      <c r="AE153" s="60"/>
    </row>
    <row r="154" spans="2:41" ht="19" thickBot="1" x14ac:dyDescent="0.25">
      <c r="B154" s="61"/>
      <c r="C154" s="62"/>
      <c r="D154" s="62"/>
      <c r="E154" s="62"/>
      <c r="F154" s="62"/>
      <c r="G154" s="62"/>
      <c r="H154" s="62"/>
      <c r="I154" s="62"/>
      <c r="J154" s="62"/>
      <c r="K154" s="63"/>
      <c r="L154" s="61"/>
      <c r="M154" s="62"/>
      <c r="N154" s="62"/>
      <c r="O154" s="62"/>
      <c r="P154" s="62"/>
      <c r="Q154" s="62"/>
      <c r="R154" s="62"/>
      <c r="S154" s="62"/>
      <c r="T154" s="62"/>
      <c r="U154" s="63"/>
      <c r="X154" s="61"/>
      <c r="Y154" s="62"/>
      <c r="Z154" s="62"/>
      <c r="AA154" s="62"/>
      <c r="AB154" s="62"/>
      <c r="AC154" s="62"/>
      <c r="AD154" s="62"/>
      <c r="AE154" s="63"/>
    </row>
  </sheetData>
  <mergeCells count="143">
    <mergeCell ref="B147:L147"/>
    <mergeCell ref="B148:K148"/>
    <mergeCell ref="L148:U148"/>
    <mergeCell ref="V148:AE148"/>
    <mergeCell ref="AF148:AO148"/>
    <mergeCell ref="B2:F2"/>
    <mergeCell ref="B3:F3"/>
    <mergeCell ref="B5:E5"/>
    <mergeCell ref="D17:E17"/>
    <mergeCell ref="F17:G17"/>
    <mergeCell ref="H17:I17"/>
    <mergeCell ref="J17:K17"/>
    <mergeCell ref="L17:M17"/>
    <mergeCell ref="B15:K15"/>
    <mergeCell ref="L15:U15"/>
    <mergeCell ref="R17:S17"/>
    <mergeCell ref="T17:U17"/>
    <mergeCell ref="P17:Q17"/>
    <mergeCell ref="N17:O17"/>
    <mergeCell ref="AF17:AG17"/>
    <mergeCell ref="AH17:AI17"/>
    <mergeCell ref="AJ17:AK17"/>
    <mergeCell ref="AL17:AM17"/>
    <mergeCell ref="AN17:AO17"/>
    <mergeCell ref="A54:A55"/>
    <mergeCell ref="V87:W87"/>
    <mergeCell ref="X87:Y87"/>
    <mergeCell ref="Z87:AA87"/>
    <mergeCell ref="B85:K85"/>
    <mergeCell ref="L85:U85"/>
    <mergeCell ref="V85:AE85"/>
    <mergeCell ref="V56:W56"/>
    <mergeCell ref="X56:Y56"/>
    <mergeCell ref="V69:W70"/>
    <mergeCell ref="L54:U54"/>
    <mergeCell ref="V54:AE54"/>
    <mergeCell ref="B54:K54"/>
    <mergeCell ref="B86:K86"/>
    <mergeCell ref="L86:U86"/>
    <mergeCell ref="V86:AE86"/>
    <mergeCell ref="L87:M87"/>
    <mergeCell ref="N87:O87"/>
    <mergeCell ref="P87:Q87"/>
    <mergeCell ref="R87:S87"/>
    <mergeCell ref="T87:U87"/>
    <mergeCell ref="B87:C87"/>
    <mergeCell ref="D87:E87"/>
    <mergeCell ref="F87:G87"/>
    <mergeCell ref="V15:AE15"/>
    <mergeCell ref="AF15:AO15"/>
    <mergeCell ref="B16:K16"/>
    <mergeCell ref="L16:U16"/>
    <mergeCell ref="V16:AE16"/>
    <mergeCell ref="AF16:AO16"/>
    <mergeCell ref="B17:C17"/>
    <mergeCell ref="AD17:AE17"/>
    <mergeCell ref="V17:W17"/>
    <mergeCell ref="X17:Y17"/>
    <mergeCell ref="Z17:AA17"/>
    <mergeCell ref="AB17:AC17"/>
    <mergeCell ref="V30:W41"/>
    <mergeCell ref="B45:K45"/>
    <mergeCell ref="B46:P46"/>
    <mergeCell ref="B55:K55"/>
    <mergeCell ref="L55:U55"/>
    <mergeCell ref="V55:AE55"/>
    <mergeCell ref="AF55:AO55"/>
    <mergeCell ref="Z56:AA56"/>
    <mergeCell ref="AB56:AC56"/>
    <mergeCell ref="AD56:AE56"/>
    <mergeCell ref="L56:M56"/>
    <mergeCell ref="N56:O56"/>
    <mergeCell ref="P56:Q56"/>
    <mergeCell ref="R56:S56"/>
    <mergeCell ref="T56:U56"/>
    <mergeCell ref="B56:C56"/>
    <mergeCell ref="D56:E56"/>
    <mergeCell ref="F56:G56"/>
    <mergeCell ref="H56:I56"/>
    <mergeCell ref="J56:K56"/>
    <mergeCell ref="AF35:AO35"/>
    <mergeCell ref="AF56:AG56"/>
    <mergeCell ref="AH56:AI56"/>
    <mergeCell ref="AJ56:AK56"/>
    <mergeCell ref="P117:Q117"/>
    <mergeCell ref="H87:I87"/>
    <mergeCell ref="J87:K87"/>
    <mergeCell ref="B115:K115"/>
    <mergeCell ref="L115:U115"/>
    <mergeCell ref="V115:AE115"/>
    <mergeCell ref="AF115:AO115"/>
    <mergeCell ref="B116:K116"/>
    <mergeCell ref="L116:U116"/>
    <mergeCell ref="V116:AE116"/>
    <mergeCell ref="AF116:AO116"/>
    <mergeCell ref="AL56:AM56"/>
    <mergeCell ref="AN56:AO56"/>
    <mergeCell ref="AF54:AO54"/>
    <mergeCell ref="V100:W100"/>
    <mergeCell ref="AF105:AO105"/>
    <mergeCell ref="AF135:AO135"/>
    <mergeCell ref="AF74:AO74"/>
    <mergeCell ref="V130:W131"/>
    <mergeCell ref="AF117:AG117"/>
    <mergeCell ref="AH117:AI117"/>
    <mergeCell ref="AJ117:AK117"/>
    <mergeCell ref="AL117:AM117"/>
    <mergeCell ref="AN117:AO117"/>
    <mergeCell ref="AF87:AG87"/>
    <mergeCell ref="AH87:AI87"/>
    <mergeCell ref="AJ87:AK87"/>
    <mergeCell ref="AL87:AM87"/>
    <mergeCell ref="AN87:AO87"/>
    <mergeCell ref="AF85:AO85"/>
    <mergeCell ref="AF86:AO86"/>
    <mergeCell ref="AD87:AE87"/>
    <mergeCell ref="AB87:AC87"/>
    <mergeCell ref="Z117:AA117"/>
    <mergeCell ref="AB117:AC117"/>
    <mergeCell ref="B40:K40"/>
    <mergeCell ref="L40:U40"/>
    <mergeCell ref="X40:AE40"/>
    <mergeCell ref="B79:K79"/>
    <mergeCell ref="L79:U79"/>
    <mergeCell ref="B110:K110"/>
    <mergeCell ref="L110:U110"/>
    <mergeCell ref="B140:K140"/>
    <mergeCell ref="L140:U140"/>
    <mergeCell ref="X79:AE79"/>
    <mergeCell ref="X110:AE110"/>
    <mergeCell ref="X140:AE140"/>
    <mergeCell ref="AD117:AE117"/>
    <mergeCell ref="B117:C117"/>
    <mergeCell ref="D117:E117"/>
    <mergeCell ref="F117:G117"/>
    <mergeCell ref="H117:I117"/>
    <mergeCell ref="J117:K117"/>
    <mergeCell ref="L117:M117"/>
    <mergeCell ref="T117:U117"/>
    <mergeCell ref="V117:W117"/>
    <mergeCell ref="X117:Y117"/>
    <mergeCell ref="R117:S117"/>
    <mergeCell ref="N117:O117"/>
  </mergeCells>
  <phoneticPr fontId="10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1A0-A8FD-8B40-810D-4876BC9ADD3B}">
  <dimension ref="A1:AY44"/>
  <sheetViews>
    <sheetView tabSelected="1" workbookViewId="0">
      <selection activeCell="E21" sqref="E21"/>
    </sheetView>
  </sheetViews>
  <sheetFormatPr baseColWidth="10" defaultRowHeight="16" x14ac:dyDescent="0.2"/>
  <cols>
    <col min="1" max="1" width="37.6640625" bestFit="1" customWidth="1"/>
    <col min="2" max="2" width="24.33203125" customWidth="1"/>
    <col min="3" max="3" width="40.5" customWidth="1"/>
    <col min="4" max="4" width="49.6640625" bestFit="1" customWidth="1"/>
    <col min="5" max="5" width="28" bestFit="1" customWidth="1"/>
  </cols>
  <sheetData>
    <row r="1" spans="1:51" s="1" customFormat="1" ht="19" thickBot="1" x14ac:dyDescent="0.25">
      <c r="A1" s="7" t="s">
        <v>0</v>
      </c>
      <c r="B1" s="7"/>
      <c r="C1" s="7"/>
      <c r="D1" s="7"/>
      <c r="E1" s="7"/>
      <c r="F1" s="136">
        <v>295</v>
      </c>
      <c r="G1" s="137"/>
      <c r="H1" s="137"/>
      <c r="I1" s="137"/>
      <c r="J1" s="137"/>
      <c r="K1" s="137"/>
      <c r="L1" s="137"/>
      <c r="M1" s="137"/>
      <c r="N1" s="137"/>
      <c r="O1" s="138"/>
      <c r="P1" s="136">
        <v>294</v>
      </c>
      <c r="Q1" s="137"/>
      <c r="R1" s="137"/>
      <c r="S1" s="137"/>
      <c r="T1" s="137"/>
      <c r="U1" s="137"/>
      <c r="V1" s="137"/>
      <c r="W1" s="137"/>
      <c r="X1" s="137"/>
      <c r="Y1" s="137"/>
      <c r="Z1" s="136">
        <v>290</v>
      </c>
      <c r="AA1" s="137"/>
      <c r="AB1" s="137"/>
      <c r="AC1" s="137"/>
      <c r="AD1" s="137"/>
      <c r="AE1" s="137"/>
      <c r="AF1" s="137"/>
      <c r="AG1" s="137"/>
      <c r="AH1" s="137"/>
      <c r="AI1" s="138"/>
      <c r="AJ1" s="136">
        <v>289</v>
      </c>
      <c r="AK1" s="137"/>
      <c r="AL1" s="137"/>
      <c r="AM1" s="137"/>
      <c r="AN1" s="137"/>
      <c r="AO1" s="137"/>
      <c r="AP1" s="137"/>
      <c r="AQ1" s="137"/>
      <c r="AR1" s="137"/>
      <c r="AS1" s="138"/>
    </row>
    <row r="2" spans="1:51" s="1" customFormat="1" ht="19" thickBot="1" x14ac:dyDescent="0.25">
      <c r="A2" s="7"/>
      <c r="B2" s="7"/>
      <c r="C2" s="7"/>
      <c r="D2" s="7"/>
      <c r="E2" s="7"/>
      <c r="F2" s="148" t="s">
        <v>15</v>
      </c>
      <c r="G2" s="149"/>
      <c r="H2" s="149"/>
      <c r="I2" s="149"/>
      <c r="J2" s="149"/>
      <c r="K2" s="149"/>
      <c r="L2" s="149"/>
      <c r="M2" s="149"/>
      <c r="N2" s="149"/>
      <c r="O2" s="150"/>
      <c r="P2" s="148" t="s">
        <v>27</v>
      </c>
      <c r="Q2" s="149"/>
      <c r="R2" s="149"/>
      <c r="S2" s="149"/>
      <c r="T2" s="149"/>
      <c r="U2" s="149"/>
      <c r="V2" s="149"/>
      <c r="W2" s="149"/>
      <c r="X2" s="149"/>
      <c r="Y2" s="149"/>
      <c r="Z2" s="148" t="s">
        <v>28</v>
      </c>
      <c r="AA2" s="149"/>
      <c r="AB2" s="149"/>
      <c r="AC2" s="149"/>
      <c r="AD2" s="149"/>
      <c r="AE2" s="149"/>
      <c r="AF2" s="149"/>
      <c r="AG2" s="149"/>
      <c r="AH2" s="149"/>
      <c r="AI2" s="150"/>
      <c r="AJ2" s="148" t="s">
        <v>22</v>
      </c>
      <c r="AK2" s="149"/>
      <c r="AL2" s="149"/>
      <c r="AM2" s="149"/>
      <c r="AN2" s="149"/>
      <c r="AO2" s="149"/>
      <c r="AP2" s="149"/>
      <c r="AQ2" s="149"/>
      <c r="AR2" s="149"/>
      <c r="AS2" s="150"/>
    </row>
    <row r="3" spans="1:51" s="1" customFormat="1" ht="19" x14ac:dyDescent="0.2">
      <c r="A3" s="8"/>
      <c r="B3" s="8"/>
      <c r="C3" s="8"/>
      <c r="D3" s="8"/>
      <c r="E3" s="8"/>
      <c r="F3" s="114">
        <v>217</v>
      </c>
      <c r="G3" s="115"/>
      <c r="H3" s="116">
        <v>218</v>
      </c>
      <c r="I3" s="117"/>
      <c r="J3" s="118">
        <v>219</v>
      </c>
      <c r="K3" s="117"/>
      <c r="L3" s="118">
        <v>220</v>
      </c>
      <c r="M3" s="117"/>
      <c r="N3" s="119">
        <v>221</v>
      </c>
      <c r="O3" s="120"/>
      <c r="P3" s="121">
        <v>212</v>
      </c>
      <c r="Q3" s="122"/>
      <c r="R3" s="131">
        <v>213</v>
      </c>
      <c r="S3" s="130"/>
      <c r="T3" s="129">
        <v>214</v>
      </c>
      <c r="U3" s="130"/>
      <c r="V3" s="129">
        <v>215</v>
      </c>
      <c r="W3" s="130"/>
      <c r="X3" s="123">
        <v>216</v>
      </c>
      <c r="Y3" s="166"/>
      <c r="Z3" s="125">
        <v>192</v>
      </c>
      <c r="AA3" s="126"/>
      <c r="AB3" s="127">
        <v>193</v>
      </c>
      <c r="AC3" s="128"/>
      <c r="AD3" s="151">
        <v>194</v>
      </c>
      <c r="AE3" s="128"/>
      <c r="AF3" s="151">
        <v>195</v>
      </c>
      <c r="AG3" s="128"/>
      <c r="AH3" s="112">
        <v>196</v>
      </c>
      <c r="AI3" s="113"/>
      <c r="AJ3" s="145">
        <v>187</v>
      </c>
      <c r="AK3" s="146"/>
      <c r="AL3" s="147">
        <v>188</v>
      </c>
      <c r="AM3" s="133"/>
      <c r="AN3" s="132">
        <v>189</v>
      </c>
      <c r="AO3" s="133"/>
      <c r="AP3" s="132">
        <v>190</v>
      </c>
      <c r="AQ3" s="133"/>
      <c r="AR3" s="134">
        <v>191</v>
      </c>
      <c r="AS3" s="135"/>
      <c r="AU3" s="167" t="s">
        <v>70</v>
      </c>
      <c r="AV3" s="167"/>
      <c r="AW3" s="167"/>
      <c r="AX3" s="167"/>
    </row>
    <row r="4" spans="1:51" s="1" customFormat="1" ht="56" customHeight="1" x14ac:dyDescent="0.2">
      <c r="A4" s="8"/>
      <c r="B4" s="66" t="s">
        <v>15</v>
      </c>
      <c r="C4" s="67" t="s">
        <v>27</v>
      </c>
      <c r="D4" s="68" t="s">
        <v>28</v>
      </c>
      <c r="E4" s="69" t="s">
        <v>22</v>
      </c>
      <c r="F4" s="80" t="s">
        <v>2</v>
      </c>
      <c r="G4" s="81" t="s">
        <v>3</v>
      </c>
      <c r="H4" s="81" t="s">
        <v>2</v>
      </c>
      <c r="I4" s="81" t="s">
        <v>3</v>
      </c>
      <c r="J4" s="81" t="s">
        <v>2</v>
      </c>
      <c r="K4" s="81" t="s">
        <v>3</v>
      </c>
      <c r="L4" s="81" t="s">
        <v>2</v>
      </c>
      <c r="M4" s="82" t="s">
        <v>3</v>
      </c>
      <c r="N4" s="83" t="s">
        <v>2</v>
      </c>
      <c r="O4" s="84" t="s">
        <v>3</v>
      </c>
      <c r="P4" s="85" t="s">
        <v>2</v>
      </c>
      <c r="Q4" s="86" t="s">
        <v>3</v>
      </c>
      <c r="R4" s="86" t="s">
        <v>2</v>
      </c>
      <c r="S4" s="86" t="s">
        <v>3</v>
      </c>
      <c r="T4" s="86" t="s">
        <v>2</v>
      </c>
      <c r="U4" s="86" t="s">
        <v>3</v>
      </c>
      <c r="V4" s="86" t="s">
        <v>2</v>
      </c>
      <c r="W4" s="87" t="s">
        <v>3</v>
      </c>
      <c r="X4" s="88" t="s">
        <v>2</v>
      </c>
      <c r="Y4" s="89" t="s">
        <v>3</v>
      </c>
      <c r="Z4" s="90" t="s">
        <v>2</v>
      </c>
      <c r="AA4" s="91" t="s">
        <v>3</v>
      </c>
      <c r="AB4" s="91" t="s">
        <v>2</v>
      </c>
      <c r="AC4" s="91" t="s">
        <v>3</v>
      </c>
      <c r="AD4" s="91" t="s">
        <v>2</v>
      </c>
      <c r="AE4" s="91" t="s">
        <v>3</v>
      </c>
      <c r="AF4" s="91" t="s">
        <v>2</v>
      </c>
      <c r="AG4" s="92" t="s">
        <v>3</v>
      </c>
      <c r="AH4" s="93" t="s">
        <v>2</v>
      </c>
      <c r="AI4" s="94" t="s">
        <v>3</v>
      </c>
      <c r="AJ4" s="95" t="s">
        <v>2</v>
      </c>
      <c r="AK4" s="96" t="s">
        <v>3</v>
      </c>
      <c r="AL4" s="96" t="s">
        <v>2</v>
      </c>
      <c r="AM4" s="96" t="s">
        <v>3</v>
      </c>
      <c r="AN4" s="96" t="s">
        <v>2</v>
      </c>
      <c r="AO4" s="96" t="s">
        <v>3</v>
      </c>
      <c r="AP4" s="96" t="s">
        <v>2</v>
      </c>
      <c r="AQ4" s="97" t="s">
        <v>3</v>
      </c>
      <c r="AR4" s="98" t="s">
        <v>2</v>
      </c>
      <c r="AS4" s="99" t="s">
        <v>3</v>
      </c>
      <c r="AU4" s="66" t="s">
        <v>15</v>
      </c>
      <c r="AV4" s="67" t="s">
        <v>27</v>
      </c>
      <c r="AW4" s="68" t="s">
        <v>28</v>
      </c>
      <c r="AX4" s="69" t="s">
        <v>22</v>
      </c>
      <c r="AY4" s="1" t="s">
        <v>69</v>
      </c>
    </row>
    <row r="5" spans="1:51" s="1" customFormat="1" ht="19" x14ac:dyDescent="0.2">
      <c r="A5" s="3" t="s">
        <v>16</v>
      </c>
      <c r="B5" s="71">
        <v>25</v>
      </c>
      <c r="C5" s="72">
        <v>25</v>
      </c>
      <c r="D5" s="72">
        <v>50</v>
      </c>
      <c r="E5" s="73">
        <v>50</v>
      </c>
      <c r="F5" s="100">
        <v>100</v>
      </c>
      <c r="G5" s="100">
        <v>100</v>
      </c>
      <c r="H5" s="100">
        <v>100</v>
      </c>
      <c r="I5" s="100">
        <v>100</v>
      </c>
      <c r="J5" s="100">
        <v>100</v>
      </c>
      <c r="K5" s="100">
        <v>100</v>
      </c>
      <c r="L5" s="100">
        <v>100</v>
      </c>
      <c r="M5" s="100">
        <v>100</v>
      </c>
      <c r="N5" s="101">
        <v>100</v>
      </c>
      <c r="O5" s="101">
        <v>100</v>
      </c>
      <c r="P5" s="100">
        <v>100</v>
      </c>
      <c r="Q5" s="100">
        <v>100</v>
      </c>
      <c r="R5" s="100">
        <v>100</v>
      </c>
      <c r="S5" s="100">
        <v>100</v>
      </c>
      <c r="T5" s="100">
        <v>100</v>
      </c>
      <c r="U5" s="100">
        <v>100</v>
      </c>
      <c r="V5" s="100">
        <v>100</v>
      </c>
      <c r="W5" s="100">
        <v>100</v>
      </c>
      <c r="X5" s="101">
        <v>100</v>
      </c>
      <c r="Y5" s="101">
        <v>100</v>
      </c>
      <c r="Z5" s="100">
        <v>100</v>
      </c>
      <c r="AA5" s="100">
        <v>100</v>
      </c>
      <c r="AB5" s="100">
        <v>100</v>
      </c>
      <c r="AC5" s="100">
        <v>100</v>
      </c>
      <c r="AD5" s="100">
        <v>100</v>
      </c>
      <c r="AE5" s="100">
        <v>100</v>
      </c>
      <c r="AF5" s="100">
        <v>100</v>
      </c>
      <c r="AG5" s="100">
        <v>100</v>
      </c>
      <c r="AH5" s="101">
        <v>100</v>
      </c>
      <c r="AI5" s="101">
        <v>100</v>
      </c>
      <c r="AJ5" s="100">
        <v>100</v>
      </c>
      <c r="AK5" s="100">
        <v>100</v>
      </c>
      <c r="AL5" s="100">
        <v>100</v>
      </c>
      <c r="AM5" s="100">
        <v>100</v>
      </c>
      <c r="AN5" s="100">
        <v>100</v>
      </c>
      <c r="AO5" s="100">
        <v>100</v>
      </c>
      <c r="AP5" s="100">
        <v>100</v>
      </c>
      <c r="AQ5" s="100">
        <v>100</v>
      </c>
      <c r="AR5" s="101">
        <v>100</v>
      </c>
      <c r="AS5" s="101">
        <v>100</v>
      </c>
      <c r="AU5" s="105">
        <v>25</v>
      </c>
      <c r="AV5" s="105">
        <v>25</v>
      </c>
      <c r="AW5" s="105">
        <v>50</v>
      </c>
      <c r="AX5" s="105">
        <v>50</v>
      </c>
      <c r="AY5" s="1">
        <v>1</v>
      </c>
    </row>
    <row r="6" spans="1:51" s="1" customFormat="1" ht="18" x14ac:dyDescent="0.2">
      <c r="A6" s="1" t="s">
        <v>17</v>
      </c>
      <c r="B6" s="74">
        <v>25</v>
      </c>
      <c r="C6" s="3">
        <v>25</v>
      </c>
      <c r="D6" s="70">
        <v>0</v>
      </c>
      <c r="E6" s="75">
        <v>0</v>
      </c>
      <c r="F6" s="100">
        <v>71.359910617107943</v>
      </c>
      <c r="G6" s="100">
        <v>63.708855824015522</v>
      </c>
      <c r="H6" s="100">
        <v>16.422362595831977</v>
      </c>
      <c r="I6" s="100">
        <v>43.054339603396571</v>
      </c>
      <c r="J6" s="100">
        <v>39.573340040037401</v>
      </c>
      <c r="K6" s="100">
        <v>37.856736946533978</v>
      </c>
      <c r="L6" s="100">
        <v>52.274091220850515</v>
      </c>
      <c r="M6" s="100">
        <v>36.920563820169306</v>
      </c>
      <c r="N6" s="100">
        <v>55.851821697537154</v>
      </c>
      <c r="O6" s="100">
        <v>44.048450727377336</v>
      </c>
      <c r="P6" s="100">
        <v>39.024806554392342</v>
      </c>
      <c r="Q6" s="100">
        <v>37.185181192364489</v>
      </c>
      <c r="R6" s="100">
        <v>48.149171816081989</v>
      </c>
      <c r="S6" s="100">
        <v>34.300000000000011</v>
      </c>
      <c r="T6" s="100">
        <v>69.483381924198213</v>
      </c>
      <c r="U6" s="100">
        <v>41.296244570085619</v>
      </c>
      <c r="V6" s="100">
        <v>74.608525035531443</v>
      </c>
      <c r="W6" s="100">
        <v>53.404488268839387</v>
      </c>
      <c r="X6" s="100">
        <v>33.48979766803842</v>
      </c>
      <c r="Y6" s="100">
        <v>59.119328534985449</v>
      </c>
      <c r="Z6" s="100">
        <v>47.455199999999984</v>
      </c>
      <c r="AA6" s="100">
        <v>38.467317806160786</v>
      </c>
      <c r="AB6" s="100">
        <v>53.637695312499979</v>
      </c>
      <c r="AC6" s="100">
        <v>24.174710658601384</v>
      </c>
      <c r="AD6" s="100">
        <v>42.98850729125386</v>
      </c>
      <c r="AE6" s="100">
        <v>43.659026610357124</v>
      </c>
      <c r="AF6" s="100">
        <v>38.768627025462976</v>
      </c>
      <c r="AG6" s="100">
        <v>39.844301000154488</v>
      </c>
      <c r="AH6" s="100">
        <v>35.742338290087631</v>
      </c>
      <c r="AI6" s="100">
        <v>33.18161128812018</v>
      </c>
      <c r="AJ6" s="100">
        <v>45.907871720116603</v>
      </c>
      <c r="AK6" s="100">
        <v>10.939426317087204</v>
      </c>
      <c r="AL6" s="100">
        <v>47.050754458161869</v>
      </c>
      <c r="AM6" s="100">
        <v>29.62962962962964</v>
      </c>
      <c r="AN6" s="100">
        <v>44.718094850396902</v>
      </c>
      <c r="AO6" s="100">
        <v>36.770480411486787</v>
      </c>
      <c r="AP6" s="100">
        <v>53.212001312066924</v>
      </c>
      <c r="AQ6" s="100">
        <v>31.245444606413997</v>
      </c>
      <c r="AR6" s="100">
        <v>31.018297678652701</v>
      </c>
      <c r="AS6" s="100">
        <v>50.551906475345596</v>
      </c>
      <c r="AU6" s="105">
        <v>25</v>
      </c>
      <c r="AV6" s="105">
        <v>25</v>
      </c>
      <c r="AW6" s="106">
        <v>0</v>
      </c>
      <c r="AX6" s="106">
        <v>0</v>
      </c>
      <c r="AY6" s="1">
        <f>AY5+1</f>
        <v>2</v>
      </c>
    </row>
    <row r="7" spans="1:51" s="1" customFormat="1" ht="18" x14ac:dyDescent="0.2">
      <c r="A7" s="1" t="s">
        <v>18</v>
      </c>
      <c r="B7" s="74">
        <v>25</v>
      </c>
      <c r="C7" s="3">
        <v>25</v>
      </c>
      <c r="D7" s="70">
        <v>50</v>
      </c>
      <c r="E7" s="75">
        <v>50</v>
      </c>
      <c r="F7" s="100">
        <v>34.613717577030123</v>
      </c>
      <c r="G7" s="100">
        <v>22.106229640157466</v>
      </c>
      <c r="H7" s="100">
        <v>9.2579095130115547</v>
      </c>
      <c r="I7" s="100">
        <v>27.852340436382804</v>
      </c>
      <c r="J7" s="100">
        <v>28.518636456750869</v>
      </c>
      <c r="K7" s="100">
        <v>28.694027334983573</v>
      </c>
      <c r="L7" s="100">
        <v>33.48979766803842</v>
      </c>
      <c r="M7" s="100">
        <v>20.221706254623168</v>
      </c>
      <c r="N7" s="100">
        <v>27.091390189293712</v>
      </c>
      <c r="O7" s="100">
        <v>30.606353250595873</v>
      </c>
      <c r="P7" s="100">
        <v>21.187272416932164</v>
      </c>
      <c r="Q7" s="100">
        <v>24.911166306603551</v>
      </c>
      <c r="R7" s="100">
        <v>34.698833237912829</v>
      </c>
      <c r="S7" s="100">
        <v>25.403703703703702</v>
      </c>
      <c r="T7" s="100">
        <v>40.993586005830892</v>
      </c>
      <c r="U7" s="100">
        <v>41.296244570085619</v>
      </c>
      <c r="V7" s="100">
        <v>49.434640975008485</v>
      </c>
      <c r="W7" s="100">
        <v>36.857271438838765</v>
      </c>
      <c r="X7" s="100">
        <v>22.822359396433491</v>
      </c>
      <c r="Y7" s="100">
        <v>28.843043913994183</v>
      </c>
      <c r="Z7" s="100">
        <v>47.455199999999984</v>
      </c>
      <c r="AA7" s="100">
        <v>28.042674680691192</v>
      </c>
      <c r="AB7" s="100">
        <v>45.801685474537038</v>
      </c>
      <c r="AC7" s="100">
        <v>37.529132394341396</v>
      </c>
      <c r="AD7" s="100">
        <v>31.338621815324053</v>
      </c>
      <c r="AE7" s="100">
        <v>37.972036573865267</v>
      </c>
      <c r="AF7" s="100">
        <v>53.637695312499979</v>
      </c>
      <c r="AG7" s="100">
        <v>46.293920484695413</v>
      </c>
      <c r="AH7" s="100">
        <v>52.448726125339881</v>
      </c>
      <c r="AI7" s="100">
        <v>52.691169776968593</v>
      </c>
      <c r="AJ7" s="100">
        <v>48.505830903790084</v>
      </c>
      <c r="AK7" s="100">
        <v>13.051392808111803</v>
      </c>
      <c r="AL7" s="100">
        <v>91.896004801097419</v>
      </c>
      <c r="AM7" s="100">
        <v>54.770848985725031</v>
      </c>
      <c r="AN7" s="100">
        <v>68.695298188479569</v>
      </c>
      <c r="AO7" s="100">
        <v>36.770480411486787</v>
      </c>
      <c r="AP7" s="100">
        <v>46.703944401164463</v>
      </c>
      <c r="AQ7" s="100">
        <v>39.245285167638478</v>
      </c>
      <c r="AR7" s="100">
        <v>54.211015020482478</v>
      </c>
      <c r="AS7" s="100">
        <v>53.847764377078491</v>
      </c>
      <c r="AU7" s="105">
        <v>25</v>
      </c>
      <c r="AV7" s="105">
        <v>25</v>
      </c>
      <c r="AW7" s="106">
        <v>50</v>
      </c>
      <c r="AX7" s="106">
        <v>50</v>
      </c>
      <c r="AY7" s="1">
        <f t="shared" ref="AY7:AY44" si="0">AY6+1</f>
        <v>3</v>
      </c>
    </row>
    <row r="8" spans="1:51" s="1" customFormat="1" ht="18" x14ac:dyDescent="0.2">
      <c r="A8" s="1" t="s">
        <v>21</v>
      </c>
      <c r="B8" s="74">
        <v>25</v>
      </c>
      <c r="C8" s="3">
        <v>25</v>
      </c>
      <c r="D8" s="70">
        <v>0</v>
      </c>
      <c r="E8" s="75">
        <v>0</v>
      </c>
      <c r="F8" s="100">
        <v>13.314968744883124</v>
      </c>
      <c r="G8" s="100">
        <v>33.959274026186378</v>
      </c>
      <c r="H8" s="100">
        <v>10.797969981643449</v>
      </c>
      <c r="I8" s="100">
        <v>22.949621331248036</v>
      </c>
      <c r="J8" s="100">
        <v>25.352963964311133</v>
      </c>
      <c r="K8" s="100">
        <v>13.314968744883124</v>
      </c>
      <c r="L8" s="100">
        <v>22.822359396433491</v>
      </c>
      <c r="M8" s="100">
        <v>18.057039533163472</v>
      </c>
      <c r="N8" s="100">
        <v>18.385839533814305</v>
      </c>
      <c r="O8" s="100">
        <v>22.552806772417195</v>
      </c>
      <c r="P8" s="100">
        <v>21.187272416932164</v>
      </c>
      <c r="Q8" s="100">
        <v>24.911166306603551</v>
      </c>
      <c r="R8" s="100">
        <v>30.84713639863384</v>
      </c>
      <c r="S8" s="100">
        <v>21.6</v>
      </c>
      <c r="T8" s="100">
        <v>36.443148688046648</v>
      </c>
      <c r="U8" s="100">
        <v>23.490941313581768</v>
      </c>
      <c r="V8" s="100">
        <v>37.469656759782147</v>
      </c>
      <c r="W8" s="100">
        <v>31.338621815324053</v>
      </c>
      <c r="X8" s="100">
        <v>22.822359396433491</v>
      </c>
      <c r="Y8" s="100">
        <v>28.843043913994183</v>
      </c>
      <c r="Z8" s="100">
        <v>31.443199999999994</v>
      </c>
      <c r="AA8" s="100">
        <v>17.905935386927119</v>
      </c>
      <c r="AB8" s="100">
        <v>26.93775318287036</v>
      </c>
      <c r="AC8" s="100">
        <v>28.19619263286355</v>
      </c>
      <c r="AD8" s="100">
        <v>24.138718539465462</v>
      </c>
      <c r="AE8" s="100">
        <v>32.80167288531716</v>
      </c>
      <c r="AF8" s="100">
        <v>42.1875</v>
      </c>
      <c r="AG8" s="100">
        <v>34.023388434748156</v>
      </c>
      <c r="AH8" s="100">
        <v>35.742338290087631</v>
      </c>
      <c r="AI8" s="100">
        <v>23.304506144742835</v>
      </c>
      <c r="AJ8" s="100">
        <v>34.29999999999999</v>
      </c>
      <c r="AK8" s="100">
        <v>5.3502339357521391</v>
      </c>
      <c r="AL8" s="100">
        <v>57.870370370370381</v>
      </c>
      <c r="AM8" s="100">
        <v>38.467317806160807</v>
      </c>
      <c r="AN8" s="100">
        <v>44.718094850396902</v>
      </c>
      <c r="AO8" s="100">
        <v>30.297942233585907</v>
      </c>
      <c r="AP8" s="100">
        <v>30.402538029439484</v>
      </c>
      <c r="AQ8" s="100">
        <v>31.245444606413997</v>
      </c>
      <c r="AR8" s="100">
        <v>33.181611288120159</v>
      </c>
      <c r="AS8" s="100">
        <v>33.557958700743505</v>
      </c>
      <c r="AU8" s="105">
        <v>25</v>
      </c>
      <c r="AV8" s="105">
        <v>25</v>
      </c>
      <c r="AW8" s="106">
        <v>0</v>
      </c>
      <c r="AX8" s="106">
        <v>0</v>
      </c>
      <c r="AY8" s="1">
        <f t="shared" si="0"/>
        <v>4</v>
      </c>
    </row>
    <row r="9" spans="1:51" s="1" customFormat="1" ht="18" x14ac:dyDescent="0.2">
      <c r="A9" s="1" t="s">
        <v>23</v>
      </c>
      <c r="B9" s="74">
        <v>25</v>
      </c>
      <c r="C9" s="3">
        <v>25</v>
      </c>
      <c r="D9" s="70">
        <v>50</v>
      </c>
      <c r="E9" s="75">
        <v>50</v>
      </c>
      <c r="F9" s="100">
        <v>10.255916319120042</v>
      </c>
      <c r="G9" s="100">
        <v>15.303055076911463</v>
      </c>
      <c r="H9" s="100">
        <v>9.2579095130115547</v>
      </c>
      <c r="I9" s="100">
        <v>18.658892128279891</v>
      </c>
      <c r="J9" s="100">
        <v>17.277335058687036</v>
      </c>
      <c r="K9" s="100">
        <v>21.143677219883834</v>
      </c>
      <c r="L9" s="100">
        <v>22.822359396433491</v>
      </c>
      <c r="M9" s="100">
        <v>18.057039533163472</v>
      </c>
      <c r="N9" s="100">
        <v>14.838184408711591</v>
      </c>
      <c r="O9" s="100">
        <v>20.221706254623168</v>
      </c>
      <c r="P9" s="100">
        <v>13.998492262175699</v>
      </c>
      <c r="Q9" s="100">
        <v>19.945274189361502</v>
      </c>
      <c r="R9" s="100">
        <v>24.020294947979377</v>
      </c>
      <c r="S9" s="100">
        <v>21.6</v>
      </c>
      <c r="T9" s="100">
        <v>32.242565597667657</v>
      </c>
      <c r="U9" s="100">
        <v>18.958226982460538</v>
      </c>
      <c r="V9" s="100">
        <v>30.675286452765178</v>
      </c>
      <c r="W9" s="100">
        <v>20.01047844865224</v>
      </c>
      <c r="X9" s="100">
        <v>17.14677640603567</v>
      </c>
      <c r="Y9" s="100">
        <v>16.963716290087458</v>
      </c>
      <c r="Z9" s="100">
        <v>34.29999999999999</v>
      </c>
      <c r="AA9" s="100">
        <v>21.6</v>
      </c>
      <c r="AB9" s="100">
        <v>35.539641203703695</v>
      </c>
      <c r="AC9" s="100">
        <v>42.882884470506333</v>
      </c>
      <c r="AD9" s="100">
        <v>36.857271438838765</v>
      </c>
      <c r="AE9" s="100">
        <v>43.659026610357124</v>
      </c>
      <c r="AF9" s="100">
        <v>53.637695312499979</v>
      </c>
      <c r="AG9" s="100">
        <v>36.857271438838765</v>
      </c>
      <c r="AH9" s="100">
        <v>46.403276157228731</v>
      </c>
      <c r="AI9" s="100">
        <v>39.024806554392377</v>
      </c>
      <c r="AJ9" s="100">
        <v>43.404373177842565</v>
      </c>
      <c r="AK9" s="100">
        <v>7.4241497188813748</v>
      </c>
      <c r="AL9" s="100">
        <v>91.896004801097419</v>
      </c>
      <c r="AM9" s="100">
        <v>43.478865792915379</v>
      </c>
      <c r="AN9" s="100">
        <v>64.216628596844345</v>
      </c>
      <c r="AO9" s="100">
        <v>28.322632770653289</v>
      </c>
      <c r="AP9" s="100">
        <v>40.749415720201739</v>
      </c>
      <c r="AQ9" s="100">
        <v>42.187500000000021</v>
      </c>
      <c r="AR9" s="100">
        <v>40.270186618115602</v>
      </c>
      <c r="AS9" s="100">
        <v>47.393355698489138</v>
      </c>
      <c r="AU9" s="105">
        <v>25</v>
      </c>
      <c r="AV9" s="105">
        <v>25</v>
      </c>
      <c r="AW9" s="106">
        <v>50</v>
      </c>
      <c r="AX9" s="106">
        <v>50</v>
      </c>
      <c r="AY9" s="1">
        <f t="shared" si="0"/>
        <v>5</v>
      </c>
    </row>
    <row r="10" spans="1:51" s="1" customFormat="1" ht="18" x14ac:dyDescent="0.2">
      <c r="A10" s="1" t="s">
        <v>24</v>
      </c>
      <c r="B10" s="74">
        <v>25</v>
      </c>
      <c r="C10" s="3">
        <v>25</v>
      </c>
      <c r="D10" s="70">
        <v>0</v>
      </c>
      <c r="E10" s="75">
        <v>0</v>
      </c>
      <c r="F10" s="100">
        <v>11.71898326960307</v>
      </c>
      <c r="G10" s="100">
        <v>15.303055076911463</v>
      </c>
      <c r="H10" s="100">
        <v>5.5285606306014454</v>
      </c>
      <c r="I10" s="100">
        <v>18.658892128279891</v>
      </c>
      <c r="J10" s="100">
        <v>22.430679925928782</v>
      </c>
      <c r="K10" s="100">
        <v>26.005798329849831</v>
      </c>
      <c r="L10" s="100">
        <v>17.14677640603567</v>
      </c>
      <c r="M10" s="100">
        <v>20.221706254623168</v>
      </c>
      <c r="N10" s="100">
        <v>13.24980588159908</v>
      </c>
      <c r="O10" s="100">
        <v>18.057039533163472</v>
      </c>
      <c r="P10" s="100">
        <v>19.202321347291758</v>
      </c>
      <c r="Q10" s="100">
        <v>17.731276127035368</v>
      </c>
      <c r="R10" s="100">
        <v>21.021459735849806</v>
      </c>
      <c r="S10" s="100">
        <v>15.170370370370371</v>
      </c>
      <c r="T10" s="100">
        <v>28.377842565597668</v>
      </c>
      <c r="U10" s="100">
        <v>28.694027334983573</v>
      </c>
      <c r="V10" s="100">
        <v>27.610147534179369</v>
      </c>
      <c r="W10" s="100">
        <v>18.135776513497717</v>
      </c>
      <c r="X10" s="100">
        <v>10.530264060356656</v>
      </c>
      <c r="Y10" s="100">
        <v>16.963716290087458</v>
      </c>
      <c r="Z10" s="100">
        <v>19.511200000000006</v>
      </c>
      <c r="AA10" s="100">
        <v>13.194290007513143</v>
      </c>
      <c r="AB10" s="100">
        <v>22.053132233796305</v>
      </c>
      <c r="AC10" s="100">
        <v>28.19619263286355</v>
      </c>
      <c r="AD10" s="100">
        <v>24.138718539465462</v>
      </c>
      <c r="AE10" s="100">
        <v>28.123334290048792</v>
      </c>
      <c r="AF10" s="100">
        <v>35.539641203703695</v>
      </c>
      <c r="AG10" s="100">
        <v>26.400317040241273</v>
      </c>
      <c r="AH10" s="100">
        <v>40.841193649088652</v>
      </c>
      <c r="AI10" s="100">
        <v>27.952890304961326</v>
      </c>
      <c r="AJ10" s="100">
        <v>34.29999999999999</v>
      </c>
      <c r="AK10" s="100">
        <v>5.3502339357521391</v>
      </c>
      <c r="AL10" s="100">
        <v>57.870370370370381</v>
      </c>
      <c r="AM10" s="100">
        <v>33.856471046553679</v>
      </c>
      <c r="AN10" s="100">
        <v>41.365688913012342</v>
      </c>
      <c r="AO10" s="100">
        <v>19.722838248055769</v>
      </c>
      <c r="AP10" s="100">
        <v>30.402538029439484</v>
      </c>
      <c r="AQ10" s="100">
        <v>36.443148688046648</v>
      </c>
      <c r="AR10" s="100">
        <v>23.304506144742835</v>
      </c>
      <c r="AS10" s="100">
        <v>31.161900681179684</v>
      </c>
      <c r="AU10" s="105">
        <v>25</v>
      </c>
      <c r="AV10" s="105">
        <v>25</v>
      </c>
      <c r="AW10" s="106">
        <v>0</v>
      </c>
      <c r="AX10" s="106">
        <v>0</v>
      </c>
      <c r="AY10" s="1">
        <f t="shared" si="0"/>
        <v>6</v>
      </c>
    </row>
    <row r="11" spans="1:51" s="1" customFormat="1" ht="18" x14ac:dyDescent="0.2">
      <c r="A11" s="1" t="s">
        <v>25</v>
      </c>
      <c r="B11" s="74">
        <v>25</v>
      </c>
      <c r="C11" s="72">
        <v>50</v>
      </c>
      <c r="D11" s="70">
        <v>25</v>
      </c>
      <c r="E11" s="75">
        <v>50</v>
      </c>
      <c r="F11" s="100">
        <v>7.705421727362916</v>
      </c>
      <c r="G11" s="100">
        <v>11.648030990981921</v>
      </c>
      <c r="H11" s="100">
        <v>2.9653925062088327</v>
      </c>
      <c r="I11" s="100">
        <v>18.658892128279891</v>
      </c>
      <c r="J11" s="100">
        <v>17.277335058687036</v>
      </c>
      <c r="K11" s="100">
        <v>18.958226982460538</v>
      </c>
      <c r="L11" s="100">
        <v>14.701217421124838</v>
      </c>
      <c r="M11" s="100">
        <v>14.202350620530952</v>
      </c>
      <c r="N11" s="100">
        <v>10.421331162222682</v>
      </c>
      <c r="O11" s="100">
        <v>12.5</v>
      </c>
      <c r="P11" s="100">
        <v>8.653134956759212</v>
      </c>
      <c r="Q11" s="100">
        <v>17.731276127035368</v>
      </c>
      <c r="R11" s="100">
        <v>13.541152547726687</v>
      </c>
      <c r="S11" s="100">
        <v>10.162962962962959</v>
      </c>
      <c r="T11" s="100">
        <v>11.458892128279883</v>
      </c>
      <c r="U11" s="100">
        <v>16.928811535016315</v>
      </c>
      <c r="V11" s="100">
        <v>17.387148301407436</v>
      </c>
      <c r="W11" s="100">
        <v>18.135776513497717</v>
      </c>
      <c r="X11" s="100">
        <v>7.2337962962963038</v>
      </c>
      <c r="Y11" s="100">
        <v>13.887686771137028</v>
      </c>
      <c r="Z11" s="100">
        <v>23.832799999999988</v>
      </c>
      <c r="AA11" s="100">
        <v>16.228399699474075</v>
      </c>
      <c r="AB11" s="100">
        <v>24.4140625</v>
      </c>
      <c r="AC11" s="100">
        <v>32.640617496618638</v>
      </c>
      <c r="AD11" s="100">
        <v>36.857271438838765</v>
      </c>
      <c r="AE11" s="100">
        <v>35.323814014514731</v>
      </c>
      <c r="AF11" s="100">
        <v>53.637695312499979</v>
      </c>
      <c r="AG11" s="100">
        <v>28.798941408007963</v>
      </c>
      <c r="AH11" s="100">
        <v>40.841193649088652</v>
      </c>
      <c r="AI11" s="100">
        <v>33.18161128812018</v>
      </c>
      <c r="AJ11" s="100">
        <v>40.993586005830913</v>
      </c>
      <c r="AK11" s="100">
        <v>5.9916166680364951</v>
      </c>
      <c r="AL11" s="100">
        <v>70.23319615912213</v>
      </c>
      <c r="AM11" s="100">
        <v>25.770097670924102</v>
      </c>
      <c r="AN11" s="100">
        <v>51.956638095453492</v>
      </c>
      <c r="AO11" s="100">
        <v>28.322632770653289</v>
      </c>
      <c r="AP11" s="100">
        <v>43.659026610357124</v>
      </c>
      <c r="AQ11" s="100">
        <v>45.273209730320708</v>
      </c>
      <c r="AR11" s="100">
        <v>33.181611288120159</v>
      </c>
      <c r="AS11" s="100">
        <v>44.369190618320289</v>
      </c>
      <c r="AU11" s="105">
        <v>25</v>
      </c>
      <c r="AV11" s="105">
        <v>50</v>
      </c>
      <c r="AW11" s="106">
        <v>25</v>
      </c>
      <c r="AX11" s="106">
        <v>50</v>
      </c>
      <c r="AY11" s="1">
        <f t="shared" si="0"/>
        <v>7</v>
      </c>
    </row>
    <row r="12" spans="1:51" s="1" customFormat="1" ht="18" x14ac:dyDescent="0.2">
      <c r="A12" s="1" t="s">
        <v>26</v>
      </c>
      <c r="B12" s="74">
        <v>25</v>
      </c>
      <c r="C12" s="70">
        <v>0</v>
      </c>
      <c r="D12" s="70">
        <v>25</v>
      </c>
      <c r="E12" s="75">
        <v>0</v>
      </c>
      <c r="F12" s="100">
        <v>10.255916319120042</v>
      </c>
      <c r="G12" s="100">
        <v>10.062007118870035</v>
      </c>
      <c r="H12" s="100">
        <v>3.7037037037037051</v>
      </c>
      <c r="I12" s="100">
        <v>11.750206121599001</v>
      </c>
      <c r="J12" s="100">
        <v>19.742048803441499</v>
      </c>
      <c r="K12" s="100">
        <v>18.958226982460538</v>
      </c>
      <c r="L12" s="100">
        <v>12.500000000000009</v>
      </c>
      <c r="M12" s="100">
        <v>18.057039533163472</v>
      </c>
      <c r="N12" s="100">
        <v>10.421331162222682</v>
      </c>
      <c r="O12" s="100">
        <v>16.052642393359093</v>
      </c>
      <c r="P12" s="100">
        <v>11.112454483386433</v>
      </c>
      <c r="Q12" s="100">
        <v>15.687498315528778</v>
      </c>
      <c r="R12" s="100">
        <v>15.793733836100522</v>
      </c>
      <c r="S12" s="100">
        <v>16.637499999999996</v>
      </c>
      <c r="T12" s="100">
        <v>18.658892128279881</v>
      </c>
      <c r="U12" s="100">
        <v>16.928811535016315</v>
      </c>
      <c r="V12" s="100">
        <v>17.387148301407436</v>
      </c>
      <c r="W12" s="100">
        <v>18.135776513497717</v>
      </c>
      <c r="X12" s="100">
        <v>7.2337962962963038</v>
      </c>
      <c r="Y12" s="100">
        <v>11.207976494169101</v>
      </c>
      <c r="Z12" s="100">
        <v>15.746400000000001</v>
      </c>
      <c r="AA12" s="100">
        <v>8.3089406461307327</v>
      </c>
      <c r="AB12" s="100">
        <v>15.89265046296296</v>
      </c>
      <c r="AC12" s="100">
        <v>28.19619263286355</v>
      </c>
      <c r="AD12" s="100">
        <v>26.400317040241273</v>
      </c>
      <c r="AE12" s="100">
        <v>30.402538029439484</v>
      </c>
      <c r="AF12" s="100">
        <v>45.801685474537038</v>
      </c>
      <c r="AG12" s="100">
        <v>26.400317040241273</v>
      </c>
      <c r="AH12" s="100">
        <v>31.086569769393435</v>
      </c>
      <c r="AI12" s="100">
        <v>15.612198452435146</v>
      </c>
      <c r="AJ12" s="100">
        <v>34.29999999999999</v>
      </c>
      <c r="AK12" s="100">
        <v>5.9916166680364951</v>
      </c>
      <c r="AL12" s="100">
        <v>57.870370370370381</v>
      </c>
      <c r="AM12" s="100">
        <v>22.261179285972677</v>
      </c>
      <c r="AN12" s="100">
        <v>41.365688913012342</v>
      </c>
      <c r="AO12" s="100">
        <v>24.633349181914003</v>
      </c>
      <c r="AP12" s="100">
        <v>30.402538029439484</v>
      </c>
      <c r="AQ12" s="100">
        <v>33.777674016034979</v>
      </c>
      <c r="AR12" s="100">
        <v>21.599999999999984</v>
      </c>
      <c r="AS12" s="100">
        <v>33.557958700743505</v>
      </c>
      <c r="AU12" s="105">
        <v>25</v>
      </c>
      <c r="AV12" s="106">
        <v>0</v>
      </c>
      <c r="AW12" s="106">
        <v>25</v>
      </c>
      <c r="AX12" s="106">
        <v>0</v>
      </c>
      <c r="AY12" s="1">
        <f t="shared" si="0"/>
        <v>8</v>
      </c>
    </row>
    <row r="13" spans="1:51" s="1" customFormat="1" ht="18" x14ac:dyDescent="0.2">
      <c r="A13" s="1" t="s">
        <v>33</v>
      </c>
      <c r="B13" s="74">
        <v>25</v>
      </c>
      <c r="C13" s="70">
        <v>50</v>
      </c>
      <c r="D13" s="70">
        <v>25</v>
      </c>
      <c r="E13" s="75">
        <v>50</v>
      </c>
      <c r="F13" s="100">
        <v>12.984860772661161</v>
      </c>
      <c r="G13" s="100">
        <v>7.7081099777378093</v>
      </c>
      <c r="H13" s="100">
        <v>3.6249041680164122</v>
      </c>
      <c r="I13" s="100">
        <v>23.879900381643715</v>
      </c>
      <c r="J13" s="100">
        <v>15.901937169270575</v>
      </c>
      <c r="K13" s="100">
        <v>21.600000000000009</v>
      </c>
      <c r="L13" s="100">
        <v>13.135474537037034</v>
      </c>
      <c r="M13" s="100">
        <v>15.860780184104554</v>
      </c>
      <c r="N13" s="100">
        <v>11.638245471198868</v>
      </c>
      <c r="O13" s="100">
        <v>15.860780184104554</v>
      </c>
      <c r="P13" s="100">
        <v>24.640117205279914</v>
      </c>
      <c r="Q13" s="100">
        <v>31.881644724803511</v>
      </c>
      <c r="R13" s="100">
        <v>26.614952717509325</v>
      </c>
      <c r="S13" s="100">
        <v>23.450462962962966</v>
      </c>
      <c r="T13" s="100">
        <v>23.504830320699714</v>
      </c>
      <c r="U13" s="100">
        <v>40.592346589869265</v>
      </c>
      <c r="V13" s="100">
        <v>43.576007144025048</v>
      </c>
      <c r="W13" s="100">
        <v>31.078191392894798</v>
      </c>
      <c r="X13" s="100">
        <v>10.906310013717423</v>
      </c>
      <c r="Y13" s="100">
        <v>21.793431691873188</v>
      </c>
      <c r="Z13" s="100">
        <v>20.123005599999995</v>
      </c>
      <c r="AA13" s="100">
        <v>11.962440871525169</v>
      </c>
      <c r="AB13" s="100">
        <v>20.277929687500016</v>
      </c>
      <c r="AC13" s="100">
        <v>14.708829373383683</v>
      </c>
      <c r="AD13" s="100">
        <v>37.149016302047997</v>
      </c>
      <c r="AE13" s="100">
        <v>49.239366107671493</v>
      </c>
      <c r="AF13" s="100">
        <v>54.467129629629632</v>
      </c>
      <c r="AG13" s="100">
        <v>28.30806101681253</v>
      </c>
      <c r="AH13" s="100">
        <v>33.827988318619731</v>
      </c>
      <c r="AI13" s="100">
        <v>6.7763768775603124</v>
      </c>
      <c r="AJ13" s="100">
        <v>56.590244606414011</v>
      </c>
      <c r="AK13" s="100">
        <v>14.084326152403746</v>
      </c>
      <c r="AL13" s="100">
        <v>129.1072702331962</v>
      </c>
      <c r="AM13" s="100">
        <v>32.548857723237916</v>
      </c>
      <c r="AN13" s="100">
        <v>83.370649297781398</v>
      </c>
      <c r="AO13" s="100">
        <v>44.887734528515807</v>
      </c>
      <c r="AP13" s="100">
        <v>88.56897218008119</v>
      </c>
      <c r="AQ13" s="100">
        <v>72.035582179300292</v>
      </c>
      <c r="AR13" s="100">
        <v>46.065000637232579</v>
      </c>
      <c r="AS13" s="100">
        <v>74.559899015965613</v>
      </c>
      <c r="AU13" s="105">
        <v>25</v>
      </c>
      <c r="AV13" s="106">
        <v>50</v>
      </c>
      <c r="AW13" s="106">
        <v>25</v>
      </c>
      <c r="AX13" s="106">
        <v>50</v>
      </c>
      <c r="AY13" s="1">
        <f t="shared" si="0"/>
        <v>9</v>
      </c>
    </row>
    <row r="14" spans="1:51" s="1" customFormat="1" ht="18" x14ac:dyDescent="0.2">
      <c r="A14" s="1" t="s">
        <v>34</v>
      </c>
      <c r="B14" s="74">
        <v>25</v>
      </c>
      <c r="C14" s="70">
        <v>0</v>
      </c>
      <c r="D14" s="70">
        <v>25</v>
      </c>
      <c r="E14" s="75">
        <v>0</v>
      </c>
      <c r="F14" s="100">
        <v>6.6064359534977815</v>
      </c>
      <c r="G14" s="100">
        <v>6.1793301218760606</v>
      </c>
      <c r="H14" s="100">
        <v>2.9653925062088327</v>
      </c>
      <c r="I14" s="100">
        <v>10.341779360640551</v>
      </c>
      <c r="J14" s="100">
        <v>9.4629430937512033</v>
      </c>
      <c r="K14" s="100">
        <v>16.928811535016315</v>
      </c>
      <c r="L14" s="100">
        <v>5.8813443072702363</v>
      </c>
      <c r="M14" s="100">
        <v>9.5144653571135009</v>
      </c>
      <c r="N14" s="100">
        <v>10.421331162222682</v>
      </c>
      <c r="O14" s="100">
        <v>10.939426317087209</v>
      </c>
      <c r="P14" s="100">
        <v>9.8315885298133843</v>
      </c>
      <c r="Q14" s="100">
        <v>12.083368204843053</v>
      </c>
      <c r="R14" s="100">
        <v>9.6993267920952331</v>
      </c>
      <c r="S14" s="100">
        <v>10.162962962962959</v>
      </c>
      <c r="T14" s="100">
        <v>18.658892128279881</v>
      </c>
      <c r="U14" s="100">
        <v>11.71898326960307</v>
      </c>
      <c r="V14" s="100">
        <v>19.652357654043044</v>
      </c>
      <c r="W14" s="100">
        <v>18.135776513497717</v>
      </c>
      <c r="X14" s="100">
        <v>7.2337962962963038</v>
      </c>
      <c r="Y14" s="100">
        <v>13.887686771137028</v>
      </c>
      <c r="Z14" s="100">
        <v>12.5</v>
      </c>
      <c r="AA14" s="100">
        <v>8.3089406461307327</v>
      </c>
      <c r="AB14" s="100">
        <v>14.128508391203706</v>
      </c>
      <c r="AC14" s="100">
        <v>14.436450628026137</v>
      </c>
      <c r="AD14" s="100">
        <v>16.381979755099856</v>
      </c>
      <c r="AE14" s="100">
        <v>21.974558202468323</v>
      </c>
      <c r="AF14" s="100">
        <v>29.62962962962964</v>
      </c>
      <c r="AG14" s="100">
        <v>14.745058000900071</v>
      </c>
      <c r="AH14" s="100">
        <v>16.49155785304287</v>
      </c>
      <c r="AI14" s="100">
        <v>2.9130632680928557</v>
      </c>
      <c r="AJ14" s="100">
        <v>32.242565597667635</v>
      </c>
      <c r="AK14" s="100">
        <v>5.3502339357521391</v>
      </c>
      <c r="AL14" s="100">
        <v>63.852451989026051</v>
      </c>
      <c r="AM14" s="100">
        <v>22.261179285972677</v>
      </c>
      <c r="AN14" s="100">
        <v>41.365688913012342</v>
      </c>
      <c r="AO14" s="100">
        <v>18.244265418286158</v>
      </c>
      <c r="AP14" s="100">
        <v>30.402538029439484</v>
      </c>
      <c r="AQ14" s="100">
        <v>33.777674016034979</v>
      </c>
      <c r="AR14" s="100">
        <v>26.977878925807925</v>
      </c>
      <c r="AS14" s="100">
        <v>36.073795276050632</v>
      </c>
      <c r="AU14" s="105">
        <v>25</v>
      </c>
      <c r="AV14" s="106">
        <v>0</v>
      </c>
      <c r="AW14" s="106">
        <v>25</v>
      </c>
      <c r="AX14" s="106">
        <v>0</v>
      </c>
      <c r="AY14" s="1">
        <f t="shared" si="0"/>
        <v>10</v>
      </c>
    </row>
    <row r="15" spans="1:51" s="1" customFormat="1" ht="18" x14ac:dyDescent="0.2">
      <c r="A15" s="1" t="s">
        <v>35</v>
      </c>
      <c r="B15" s="74">
        <v>25</v>
      </c>
      <c r="C15" s="70">
        <v>50</v>
      </c>
      <c r="D15" s="70">
        <v>25</v>
      </c>
      <c r="E15" s="75">
        <v>50</v>
      </c>
      <c r="F15" s="100">
        <v>6.6064359534977815</v>
      </c>
      <c r="G15" s="100">
        <v>8.6269133535412017</v>
      </c>
      <c r="H15" s="100">
        <v>1.7965122556959294</v>
      </c>
      <c r="I15" s="100">
        <v>11.750206121599001</v>
      </c>
      <c r="J15" s="100">
        <v>22.430679925928782</v>
      </c>
      <c r="K15" s="100">
        <v>18.958226982460538</v>
      </c>
      <c r="L15" s="100">
        <v>4.7089334705075458</v>
      </c>
      <c r="M15" s="100">
        <v>10.939426317087209</v>
      </c>
      <c r="N15" s="100">
        <v>8.0270785746055484</v>
      </c>
      <c r="O15" s="100">
        <v>12.5</v>
      </c>
      <c r="P15" s="100">
        <v>17.345385753299954</v>
      </c>
      <c r="Q15" s="100">
        <v>30.639645147517125</v>
      </c>
      <c r="R15" s="100">
        <v>18.283221132015861</v>
      </c>
      <c r="S15" s="100">
        <v>19.849537037037042</v>
      </c>
      <c r="T15" s="100">
        <v>21.599999999999984</v>
      </c>
      <c r="U15" s="100">
        <v>23.490941313581768</v>
      </c>
      <c r="V15" s="100">
        <v>30.675286452765178</v>
      </c>
      <c r="W15" s="100">
        <v>26.400317040241273</v>
      </c>
      <c r="X15" s="100">
        <v>14.701217421124838</v>
      </c>
      <c r="Y15" s="100">
        <v>18.658892128279891</v>
      </c>
      <c r="Z15" s="100">
        <v>11.059200000000006</v>
      </c>
      <c r="AA15" s="100">
        <v>7.3129977460555953</v>
      </c>
      <c r="AB15" s="100">
        <v>15.89265046296296</v>
      </c>
      <c r="AC15" s="100">
        <v>9.6712940730721986</v>
      </c>
      <c r="AD15" s="100">
        <v>16.381979755099856</v>
      </c>
      <c r="AE15" s="100">
        <v>23.912419533396193</v>
      </c>
      <c r="AF15" s="100">
        <v>38.768627025462976</v>
      </c>
      <c r="AG15" s="100">
        <v>16.381979755099856</v>
      </c>
      <c r="AH15" s="100">
        <v>16.49155785304287</v>
      </c>
      <c r="AI15" s="100">
        <v>2.9130632680928557</v>
      </c>
      <c r="AJ15" s="100">
        <v>53.992128279883374</v>
      </c>
      <c r="AK15" s="100">
        <v>9.9747647705237945</v>
      </c>
      <c r="AL15" s="100">
        <v>91.896004801097419</v>
      </c>
      <c r="AM15" s="100">
        <v>25.770097670924102</v>
      </c>
      <c r="AN15" s="100">
        <v>68.695298188479569</v>
      </c>
      <c r="AO15" s="100">
        <v>34.519871127765057</v>
      </c>
      <c r="AP15" s="100">
        <v>43.659026610357124</v>
      </c>
      <c r="AQ15" s="100">
        <v>55.425473760932931</v>
      </c>
      <c r="AR15" s="100">
        <v>37.805370960400545</v>
      </c>
      <c r="AS15" s="100">
        <v>57.28385083187667</v>
      </c>
      <c r="AU15" s="105">
        <v>25</v>
      </c>
      <c r="AV15" s="106">
        <v>50</v>
      </c>
      <c r="AW15" s="106">
        <v>25</v>
      </c>
      <c r="AX15" s="106">
        <v>50</v>
      </c>
      <c r="AY15" s="1">
        <f t="shared" si="0"/>
        <v>11</v>
      </c>
    </row>
    <row r="16" spans="1:51" s="1" customFormat="1" ht="18" x14ac:dyDescent="0.2">
      <c r="A16" s="1" t="s">
        <v>40</v>
      </c>
      <c r="B16" s="74">
        <v>25</v>
      </c>
      <c r="C16" s="70">
        <v>0</v>
      </c>
      <c r="D16" s="70">
        <v>25</v>
      </c>
      <c r="E16" s="75">
        <v>0</v>
      </c>
      <c r="F16" s="100">
        <v>10.255916319120042</v>
      </c>
      <c r="G16" s="100">
        <v>11.648030990981921</v>
      </c>
      <c r="H16" s="100">
        <v>0.98396501457725971</v>
      </c>
      <c r="I16" s="100">
        <v>13.281030862990761</v>
      </c>
      <c r="J16" s="100">
        <v>15.026803153503055</v>
      </c>
      <c r="K16" s="100">
        <v>21.143677219883834</v>
      </c>
      <c r="L16" s="100">
        <v>3.7037037037037051</v>
      </c>
      <c r="M16" s="100">
        <v>12.5</v>
      </c>
      <c r="N16" s="100">
        <v>9.1721886755471136</v>
      </c>
      <c r="O16" s="100">
        <v>16.052642393359093</v>
      </c>
      <c r="P16" s="100">
        <v>13.998492262175699</v>
      </c>
      <c r="Q16" s="100">
        <v>22.336301312539987</v>
      </c>
      <c r="R16" s="100">
        <v>9.6993267920952331</v>
      </c>
      <c r="S16" s="100">
        <v>13.792129629629624</v>
      </c>
      <c r="T16" s="100">
        <v>15.997667638483973</v>
      </c>
      <c r="U16" s="100">
        <v>18.958226982460538</v>
      </c>
      <c r="V16" s="100">
        <v>22.106229640157466</v>
      </c>
      <c r="W16" s="100">
        <v>13.220981078339838</v>
      </c>
      <c r="X16" s="100">
        <v>2.8527949245541864</v>
      </c>
      <c r="Y16" s="100">
        <v>12.5</v>
      </c>
      <c r="Z16" s="102" t="s">
        <v>68</v>
      </c>
      <c r="AA16" s="102" t="s">
        <v>68</v>
      </c>
      <c r="AB16" s="100">
        <v>22.053132233796305</v>
      </c>
      <c r="AC16" s="100">
        <v>20.555024429357534</v>
      </c>
      <c r="AD16" s="100">
        <v>20.01047844865224</v>
      </c>
      <c r="AE16" s="100">
        <v>32.80167288531716</v>
      </c>
      <c r="AF16" s="100">
        <v>38.768627025462976</v>
      </c>
      <c r="AG16" s="100">
        <v>14.745058000900071</v>
      </c>
      <c r="AH16" s="100">
        <v>31.086569769393435</v>
      </c>
      <c r="AI16" s="100">
        <v>4.1477014110150243</v>
      </c>
      <c r="AJ16" s="100">
        <v>48.505830903790084</v>
      </c>
      <c r="AK16" s="100">
        <v>5.3502339357521391</v>
      </c>
      <c r="AL16" s="100">
        <v>84.242112482853216</v>
      </c>
      <c r="AM16" s="100">
        <v>25.770097670924102</v>
      </c>
      <c r="AN16" s="100">
        <v>55.851821697537154</v>
      </c>
      <c r="AO16" s="100">
        <v>24.633349181914003</v>
      </c>
      <c r="AP16" s="100">
        <v>35.323814014514731</v>
      </c>
      <c r="AQ16" s="100">
        <v>42.187500000000021</v>
      </c>
      <c r="AR16" s="100">
        <v>33.181611288120159</v>
      </c>
      <c r="AS16" s="100">
        <v>36.073795276050632</v>
      </c>
      <c r="AU16" s="105">
        <v>25</v>
      </c>
      <c r="AV16" s="106">
        <v>0</v>
      </c>
      <c r="AW16" s="106">
        <v>25</v>
      </c>
      <c r="AX16" s="106">
        <v>0</v>
      </c>
      <c r="AY16" s="1">
        <f t="shared" si="0"/>
        <v>12</v>
      </c>
    </row>
    <row r="17" spans="1:51" s="1" customFormat="1" ht="18" x14ac:dyDescent="0.2">
      <c r="A17" s="64" t="s">
        <v>41</v>
      </c>
      <c r="B17" s="74">
        <v>0</v>
      </c>
      <c r="C17" s="70">
        <v>50</v>
      </c>
      <c r="D17" s="70">
        <v>0</v>
      </c>
      <c r="E17" s="75">
        <v>50</v>
      </c>
      <c r="F17" s="100">
        <v>5.6172524392475651</v>
      </c>
      <c r="G17" s="100">
        <v>8.6269133535412017</v>
      </c>
      <c r="H17" s="100">
        <v>0.98396501457725971</v>
      </c>
      <c r="I17" s="100">
        <v>11.750206121599001</v>
      </c>
      <c r="J17" s="100">
        <v>19.742048803441499</v>
      </c>
      <c r="K17" s="100">
        <v>23.490941313581768</v>
      </c>
      <c r="L17" s="100">
        <v>2.8527949245541864</v>
      </c>
      <c r="M17" s="100">
        <v>10.939426317087209</v>
      </c>
      <c r="N17" s="100">
        <v>6.9814777121921425</v>
      </c>
      <c r="O17" s="100">
        <v>12.5</v>
      </c>
      <c r="P17" s="100">
        <v>23.304506144742835</v>
      </c>
      <c r="Q17" s="100">
        <v>30.639645147517125</v>
      </c>
      <c r="R17" s="100">
        <v>18.283221132015861</v>
      </c>
      <c r="S17" s="100">
        <v>25.403703703703702</v>
      </c>
      <c r="T17" s="100">
        <v>11.458892128279883</v>
      </c>
      <c r="U17" s="100">
        <v>28.694027334983573</v>
      </c>
      <c r="V17" s="100">
        <v>37.469656759782147</v>
      </c>
      <c r="W17" s="100">
        <v>31.338621815324053</v>
      </c>
      <c r="X17" s="100">
        <v>10.530264060356656</v>
      </c>
      <c r="Y17" s="100">
        <v>22.380648688046641</v>
      </c>
      <c r="Z17" s="102" t="s">
        <v>68</v>
      </c>
      <c r="AA17" s="102" t="s">
        <v>68</v>
      </c>
      <c r="AB17" s="100">
        <v>17.797851562500011</v>
      </c>
      <c r="AC17" s="100">
        <v>9.6712940730721986</v>
      </c>
      <c r="AD17" s="100">
        <v>18.135776513497717</v>
      </c>
      <c r="AE17" s="100">
        <v>32.80167288531716</v>
      </c>
      <c r="AF17" s="100">
        <v>38.768627025462976</v>
      </c>
      <c r="AG17" s="100">
        <v>14.745058000900071</v>
      </c>
      <c r="AH17" s="100">
        <v>16.49155785304287</v>
      </c>
      <c r="AI17" s="100">
        <v>2.9130632680928557</v>
      </c>
      <c r="AJ17" s="100">
        <v>62.9737609329446</v>
      </c>
      <c r="AK17" s="100">
        <v>8.2189529053998545</v>
      </c>
      <c r="AL17" s="100">
        <v>100</v>
      </c>
      <c r="AM17" s="100">
        <v>33.856471046553679</v>
      </c>
      <c r="AN17" s="100">
        <v>83.370649297781398</v>
      </c>
      <c r="AO17" s="100">
        <v>36.770480411486787</v>
      </c>
      <c r="AP17" s="104">
        <v>53.212001312066924</v>
      </c>
      <c r="AQ17" s="100">
        <v>66.9921875</v>
      </c>
      <c r="AR17" s="100">
        <v>48.302594446973146</v>
      </c>
      <c r="AS17" s="100">
        <v>53.847764377078491</v>
      </c>
      <c r="AU17" s="105">
        <v>25</v>
      </c>
      <c r="AV17" s="106">
        <v>50</v>
      </c>
      <c r="AW17" s="106">
        <v>25</v>
      </c>
      <c r="AX17" s="106">
        <v>50</v>
      </c>
      <c r="AY17" s="1">
        <f t="shared" si="0"/>
        <v>13</v>
      </c>
    </row>
    <row r="18" spans="1:51" s="1" customFormat="1" ht="18" x14ac:dyDescent="0.2">
      <c r="A18" s="1" t="s">
        <v>42</v>
      </c>
      <c r="B18" s="74">
        <v>50</v>
      </c>
      <c r="C18" s="70">
        <v>0</v>
      </c>
      <c r="D18" s="70">
        <v>50</v>
      </c>
      <c r="E18" s="75">
        <v>0</v>
      </c>
      <c r="F18" s="100">
        <v>13.314968744883124</v>
      </c>
      <c r="G18" s="100">
        <v>19.652357654043044</v>
      </c>
      <c r="H18" s="100">
        <v>2.9653925062088327</v>
      </c>
      <c r="I18" s="100">
        <v>22.949621331248036</v>
      </c>
      <c r="J18" s="100">
        <v>53.169019083683033</v>
      </c>
      <c r="K18" s="100">
        <v>34.613717577030123</v>
      </c>
      <c r="L18" s="100">
        <v>12.500000000000009</v>
      </c>
      <c r="M18" s="100">
        <v>27.7389660557245</v>
      </c>
      <c r="N18" s="100">
        <v>14.838184408711591</v>
      </c>
      <c r="O18" s="100">
        <v>22.552806772417195</v>
      </c>
      <c r="P18" s="100">
        <v>27.952890304961297</v>
      </c>
      <c r="Q18" s="100">
        <v>37.185181192364489</v>
      </c>
      <c r="R18" s="100">
        <v>24.020294947979377</v>
      </c>
      <c r="S18" s="100">
        <v>27.462499999999991</v>
      </c>
      <c r="T18" s="100">
        <v>18.658892128279881</v>
      </c>
      <c r="U18" s="100">
        <v>31.561407395278501</v>
      </c>
      <c r="V18" s="100">
        <v>33.959274026186378</v>
      </c>
      <c r="W18" s="100">
        <v>22.010115733121985</v>
      </c>
      <c r="X18" s="100">
        <v>17.14677640603567</v>
      </c>
      <c r="Y18" s="100">
        <v>20.463397412536448</v>
      </c>
      <c r="Z18" s="102" t="s">
        <v>68</v>
      </c>
      <c r="AA18" s="102" t="s">
        <v>68</v>
      </c>
      <c r="AB18" s="100">
        <v>24.4140625</v>
      </c>
      <c r="AC18" s="100">
        <v>17.315986800657328</v>
      </c>
      <c r="AD18" s="100">
        <v>39.844301000154488</v>
      </c>
      <c r="AE18" s="100">
        <v>49.887244249456707</v>
      </c>
      <c r="AF18" s="100">
        <v>53.637695312499979</v>
      </c>
      <c r="AG18" s="100">
        <v>22.010115733121985</v>
      </c>
      <c r="AH18" s="100">
        <v>35.742338290087631</v>
      </c>
      <c r="AI18" s="100">
        <v>4.1477014110150243</v>
      </c>
      <c r="AJ18" s="100">
        <v>45.907871720116603</v>
      </c>
      <c r="AK18" s="100">
        <v>7.4241497188813748</v>
      </c>
      <c r="AL18" s="100">
        <v>91.896004801097419</v>
      </c>
      <c r="AM18" s="100">
        <v>25.770097670924102</v>
      </c>
      <c r="AN18" s="100">
        <v>55.851821697537154</v>
      </c>
      <c r="AO18" s="100">
        <v>32.363023377210624</v>
      </c>
      <c r="AP18" s="104">
        <v>53.212001312066924</v>
      </c>
      <c r="AQ18" s="100">
        <v>48.505830903790084</v>
      </c>
      <c r="AR18" s="100">
        <v>40.270186618115602</v>
      </c>
      <c r="AS18" s="100">
        <v>50.551906475345596</v>
      </c>
      <c r="AU18" s="105">
        <v>25</v>
      </c>
      <c r="AV18" s="106">
        <v>0</v>
      </c>
      <c r="AW18" s="106">
        <v>25</v>
      </c>
      <c r="AX18" s="106">
        <v>0</v>
      </c>
      <c r="AY18" s="1">
        <f t="shared" si="0"/>
        <v>14</v>
      </c>
    </row>
    <row r="19" spans="1:51" s="1" customFormat="1" ht="18" x14ac:dyDescent="0.2">
      <c r="A19" s="1" t="s">
        <v>43</v>
      </c>
      <c r="B19" s="74">
        <v>25</v>
      </c>
      <c r="C19" s="70">
        <v>50</v>
      </c>
      <c r="D19" s="70">
        <v>25</v>
      </c>
      <c r="E19" s="75">
        <v>50</v>
      </c>
      <c r="F19" s="100">
        <v>11.71898326960307</v>
      </c>
      <c r="G19" s="100">
        <v>17.387148301407436</v>
      </c>
      <c r="H19" s="100">
        <v>1.7965122556959294</v>
      </c>
      <c r="I19" s="100">
        <v>16.730273950479823</v>
      </c>
      <c r="J19" s="100">
        <v>35.619088956451705</v>
      </c>
      <c r="K19" s="100">
        <v>28.694027334983573</v>
      </c>
      <c r="L19" s="100">
        <v>4.7089334705075458</v>
      </c>
      <c r="M19" s="100">
        <v>22.552806772417195</v>
      </c>
      <c r="N19" s="100">
        <v>11.779029181838059</v>
      </c>
      <c r="O19" s="100">
        <v>22.552806772417195</v>
      </c>
      <c r="P19" s="100">
        <v>42.187499999999979</v>
      </c>
      <c r="Q19" s="100">
        <v>52.945306814909564</v>
      </c>
      <c r="R19" s="100">
        <v>5.4172507057824815</v>
      </c>
      <c r="S19" s="100">
        <v>42.1875</v>
      </c>
      <c r="T19" s="100">
        <v>24.834985422740537</v>
      </c>
      <c r="U19" s="100">
        <v>44.938019513980507</v>
      </c>
      <c r="V19" s="100">
        <v>74.608525035531443</v>
      </c>
      <c r="W19" s="100">
        <v>46.293920484695413</v>
      </c>
      <c r="X19" s="100">
        <v>47.050754458161869</v>
      </c>
      <c r="Y19" s="100">
        <v>31.245444606413997</v>
      </c>
      <c r="Z19" s="102" t="s">
        <v>68</v>
      </c>
      <c r="AA19" s="102" t="s">
        <v>68</v>
      </c>
      <c r="AB19" s="100">
        <v>19.849537037037042</v>
      </c>
      <c r="AC19" s="100">
        <v>9.6712940730721986</v>
      </c>
      <c r="AD19" s="100">
        <v>28.798941408007963</v>
      </c>
      <c r="AE19" s="100">
        <v>43.659026610357124</v>
      </c>
      <c r="AF19" s="100">
        <v>38.768627025462976</v>
      </c>
      <c r="AG19" s="100">
        <v>14.745058000900071</v>
      </c>
      <c r="AH19" s="100">
        <v>26.853747776174025</v>
      </c>
      <c r="AI19" s="100">
        <v>5.6895766954938587</v>
      </c>
      <c r="AJ19" s="100">
        <v>66.175218658892092</v>
      </c>
      <c r="AK19" s="100">
        <v>16.703347549077801</v>
      </c>
      <c r="AL19" s="100">
        <v>117.60973936899863</v>
      </c>
      <c r="AM19" s="100">
        <v>48.907810891281962</v>
      </c>
      <c r="AN19" s="100">
        <v>83.370649297781398</v>
      </c>
      <c r="AO19" s="100">
        <v>55.317642130182222</v>
      </c>
      <c r="AP19" s="100">
        <v>67.987104842346952</v>
      </c>
      <c r="AQ19" s="100">
        <v>89.663811953352777</v>
      </c>
      <c r="AR19" s="100">
        <v>67.43486572598998</v>
      </c>
      <c r="AS19" s="100">
        <v>85.508255469157035</v>
      </c>
      <c r="AU19" s="105">
        <v>25</v>
      </c>
      <c r="AV19" s="106">
        <v>50</v>
      </c>
      <c r="AW19" s="106">
        <v>25</v>
      </c>
      <c r="AX19" s="106">
        <v>50</v>
      </c>
      <c r="AY19" s="1">
        <f t="shared" si="0"/>
        <v>15</v>
      </c>
    </row>
    <row r="20" spans="1:51" s="1" customFormat="1" ht="18" x14ac:dyDescent="0.2">
      <c r="A20" s="1" t="s">
        <v>53</v>
      </c>
      <c r="B20" s="74">
        <v>25</v>
      </c>
      <c r="C20" s="70">
        <v>0</v>
      </c>
      <c r="D20" s="70">
        <v>25</v>
      </c>
      <c r="E20" s="76">
        <v>0</v>
      </c>
      <c r="F20" s="100">
        <v>10.255916319120042</v>
      </c>
      <c r="G20" s="100">
        <v>17.387148301407436</v>
      </c>
      <c r="H20" s="100">
        <v>1.7965122556959294</v>
      </c>
      <c r="I20" s="100">
        <v>25.3219321881189</v>
      </c>
      <c r="J20" s="100">
        <v>58.31100582306874</v>
      </c>
      <c r="K20" s="100">
        <v>44.938019513980507</v>
      </c>
      <c r="L20" s="100">
        <v>4.7089334705075458</v>
      </c>
      <c r="M20" s="100">
        <v>22.552806772417195</v>
      </c>
      <c r="N20" s="100">
        <v>13.24980588159908</v>
      </c>
      <c r="O20" s="100">
        <v>22.552806772417195</v>
      </c>
      <c r="P20" s="100">
        <v>30.492575102412374</v>
      </c>
      <c r="Q20" s="100">
        <v>57.481109098414265</v>
      </c>
      <c r="R20" s="100">
        <v>24.020294947979377</v>
      </c>
      <c r="S20" s="100">
        <v>31.907870370370357</v>
      </c>
      <c r="T20" s="100">
        <v>18.658892128279881</v>
      </c>
      <c r="U20" s="100">
        <v>48.787840844514228</v>
      </c>
      <c r="V20" s="100">
        <v>58.681625517250048</v>
      </c>
      <c r="W20" s="100">
        <v>36.857271438838765</v>
      </c>
      <c r="X20" s="100">
        <v>26.078103566529503</v>
      </c>
      <c r="Y20" s="100">
        <v>42.187500000000021</v>
      </c>
      <c r="Z20" s="102" t="s">
        <v>68</v>
      </c>
      <c r="AA20" s="102" t="s">
        <v>68</v>
      </c>
      <c r="AB20" s="100">
        <v>24.4140625</v>
      </c>
      <c r="AC20" s="100">
        <v>14.436450628026137</v>
      </c>
      <c r="AD20" s="100">
        <v>26.400317040241273</v>
      </c>
      <c r="AE20" s="100">
        <v>43.659026610357124</v>
      </c>
      <c r="AF20" s="100">
        <v>49.616608796296291</v>
      </c>
      <c r="AG20" s="100">
        <v>20.01047844865224</v>
      </c>
      <c r="AH20" s="100">
        <v>26.853747776174025</v>
      </c>
      <c r="AI20" s="100">
        <v>2.9130632680928557</v>
      </c>
      <c r="AJ20" s="100">
        <v>56.883965014577242</v>
      </c>
      <c r="AK20" s="100">
        <v>13.051392808111803</v>
      </c>
      <c r="AL20" s="100">
        <v>91.896004801097419</v>
      </c>
      <c r="AM20" s="100">
        <v>48.907810891281962</v>
      </c>
      <c r="AN20" s="100">
        <v>64.216628596844345</v>
      </c>
      <c r="AO20" s="100">
        <v>41.560963283382591</v>
      </c>
      <c r="AP20" s="100">
        <v>60.298187707573071</v>
      </c>
      <c r="AQ20" s="100">
        <v>71.178024781341122</v>
      </c>
      <c r="AR20" s="100">
        <v>51.20000000000001</v>
      </c>
      <c r="AS20" s="100">
        <v>64.588395113424454</v>
      </c>
      <c r="AU20" s="105">
        <v>25</v>
      </c>
      <c r="AV20" s="106">
        <v>0</v>
      </c>
      <c r="AW20" s="106">
        <v>25</v>
      </c>
      <c r="AX20" s="106">
        <v>0</v>
      </c>
      <c r="AY20" s="1">
        <f t="shared" si="0"/>
        <v>16</v>
      </c>
    </row>
    <row r="21" spans="1:51" s="1" customFormat="1" ht="18" x14ac:dyDescent="0.2">
      <c r="A21" s="1" t="s">
        <v>54</v>
      </c>
      <c r="B21" s="74">
        <v>25</v>
      </c>
      <c r="C21" s="70">
        <v>50</v>
      </c>
      <c r="D21" s="70">
        <v>25</v>
      </c>
      <c r="E21" s="79"/>
      <c r="F21" s="100">
        <v>16.928811535016315</v>
      </c>
      <c r="G21" s="100">
        <v>19.652357654043044</v>
      </c>
      <c r="H21" s="100">
        <v>1.7965122556959294</v>
      </c>
      <c r="I21" s="100">
        <v>30.545945991891145</v>
      </c>
      <c r="J21" s="100">
        <v>58.31100582306874</v>
      </c>
      <c r="K21" s="100">
        <v>34.613717577030123</v>
      </c>
      <c r="L21" s="100">
        <v>7.2337962962963038</v>
      </c>
      <c r="M21" s="100">
        <v>27.7389660557245</v>
      </c>
      <c r="N21" s="100">
        <v>16.548687910381382</v>
      </c>
      <c r="O21" s="100">
        <v>27.7389660557245</v>
      </c>
      <c r="P21" s="100">
        <v>49.016414428766467</v>
      </c>
      <c r="Q21" s="100">
        <v>96.666945638744352</v>
      </c>
      <c r="R21" s="100">
        <v>53.303851696839267</v>
      </c>
      <c r="S21" s="100">
        <v>51.199999999999989</v>
      </c>
      <c r="T21" s="100">
        <v>28.377842565597668</v>
      </c>
      <c r="U21" s="100">
        <v>61.643373818903328</v>
      </c>
      <c r="V21" s="100">
        <v>107.1402518017281</v>
      </c>
      <c r="W21" s="100">
        <v>61.20824573305481</v>
      </c>
      <c r="X21" s="100">
        <v>47.050754458161869</v>
      </c>
      <c r="Y21" s="100">
        <v>45.273209730320708</v>
      </c>
      <c r="Z21" s="102" t="s">
        <v>68</v>
      </c>
      <c r="AA21" s="102" t="s">
        <v>68</v>
      </c>
      <c r="AB21" s="100">
        <v>29.62962962962964</v>
      </c>
      <c r="AC21" s="100">
        <v>14.436450628026137</v>
      </c>
      <c r="AD21" s="100">
        <v>26.400317040241273</v>
      </c>
      <c r="AE21" s="100">
        <v>49.887244249456707</v>
      </c>
      <c r="AF21" s="100">
        <v>62.320059317129626</v>
      </c>
      <c r="AG21" s="100">
        <v>20.01047844865224</v>
      </c>
      <c r="AH21" s="100">
        <v>31.086569769393435</v>
      </c>
      <c r="AI21" s="100">
        <v>5.6895766954938587</v>
      </c>
      <c r="AJ21" s="103" t="s">
        <v>68</v>
      </c>
      <c r="AK21" s="103" t="s">
        <v>68</v>
      </c>
      <c r="AL21" s="103" t="s">
        <v>68</v>
      </c>
      <c r="AM21" s="103" t="s">
        <v>68</v>
      </c>
      <c r="AN21" s="103" t="s">
        <v>68</v>
      </c>
      <c r="AO21" s="103" t="s">
        <v>68</v>
      </c>
      <c r="AP21" s="103" t="s">
        <v>68</v>
      </c>
      <c r="AQ21" s="103" t="s">
        <v>68</v>
      </c>
      <c r="AR21" s="103" t="s">
        <v>68</v>
      </c>
      <c r="AS21" s="103" t="s">
        <v>68</v>
      </c>
      <c r="AU21" s="105">
        <v>25</v>
      </c>
      <c r="AV21" s="106">
        <v>50</v>
      </c>
      <c r="AW21" s="106">
        <v>25</v>
      </c>
      <c r="AX21" s="106">
        <v>50</v>
      </c>
      <c r="AY21" s="1">
        <f t="shared" si="0"/>
        <v>17</v>
      </c>
    </row>
    <row r="22" spans="1:51" s="1" customFormat="1" ht="18" x14ac:dyDescent="0.2">
      <c r="A22" s="1" t="s">
        <v>55</v>
      </c>
      <c r="B22" s="74">
        <v>25</v>
      </c>
      <c r="C22" s="70">
        <v>0</v>
      </c>
      <c r="D22" s="70">
        <v>25</v>
      </c>
      <c r="E22" s="75"/>
      <c r="F22" s="100">
        <v>18.958226982460538</v>
      </c>
      <c r="G22" s="100">
        <v>24.756310765089882</v>
      </c>
      <c r="H22" s="100">
        <v>2.9653925062088327</v>
      </c>
      <c r="I22" s="100">
        <v>36.443148688046669</v>
      </c>
      <c r="J22" s="100">
        <v>82.189035755792133</v>
      </c>
      <c r="K22" s="100">
        <v>41.296244570085619</v>
      </c>
      <c r="L22" s="100">
        <v>4.7089334705075458</v>
      </c>
      <c r="M22" s="100">
        <v>27.7389660557245</v>
      </c>
      <c r="N22" s="100">
        <v>18.385839533814305</v>
      </c>
      <c r="O22" s="100">
        <v>30.606353250595873</v>
      </c>
      <c r="P22" s="100">
        <v>42.187499999999979</v>
      </c>
      <c r="Q22" s="100">
        <v>78.211666044889895</v>
      </c>
      <c r="R22" s="100">
        <v>4.3373541547391081</v>
      </c>
      <c r="S22" s="100">
        <v>57.870370370370381</v>
      </c>
      <c r="T22" s="100">
        <v>21.599999999999984</v>
      </c>
      <c r="U22" s="100">
        <v>57.134738930680072</v>
      </c>
      <c r="V22" s="100">
        <v>74.608525035531443</v>
      </c>
      <c r="W22" s="100">
        <v>46.293920484695413</v>
      </c>
      <c r="X22" s="100">
        <v>37.67146776406036</v>
      </c>
      <c r="Y22" s="100">
        <v>39.245285167638478</v>
      </c>
      <c r="Z22" s="102" t="s">
        <v>68</v>
      </c>
      <c r="AA22" s="102" t="s">
        <v>68</v>
      </c>
      <c r="AB22" s="100">
        <v>32.4951171875</v>
      </c>
      <c r="AC22" s="100">
        <v>20.555024429357534</v>
      </c>
      <c r="AD22" s="100">
        <v>34.023388434748156</v>
      </c>
      <c r="AE22" s="100">
        <v>60.298187707573071</v>
      </c>
      <c r="AF22" s="100">
        <v>57.870370370370381</v>
      </c>
      <c r="AG22" s="100">
        <v>20.01047844865224</v>
      </c>
      <c r="AH22" s="100">
        <v>46.403276157228731</v>
      </c>
      <c r="AI22" s="100">
        <v>2.9130632680928557</v>
      </c>
      <c r="AJ22" s="103" t="s">
        <v>68</v>
      </c>
      <c r="AK22" s="103" t="s">
        <v>68</v>
      </c>
      <c r="AL22" s="103" t="s">
        <v>68</v>
      </c>
      <c r="AM22" s="103" t="s">
        <v>68</v>
      </c>
      <c r="AN22" s="103" t="s">
        <v>68</v>
      </c>
      <c r="AO22" s="103" t="s">
        <v>68</v>
      </c>
      <c r="AP22" s="103" t="s">
        <v>68</v>
      </c>
      <c r="AQ22" s="103" t="s">
        <v>68</v>
      </c>
      <c r="AR22" s="103" t="s">
        <v>68</v>
      </c>
      <c r="AS22" s="103" t="s">
        <v>68</v>
      </c>
      <c r="AU22" s="105">
        <v>25</v>
      </c>
      <c r="AV22" s="106">
        <v>0</v>
      </c>
      <c r="AW22" s="106">
        <v>25</v>
      </c>
      <c r="AX22" s="106">
        <v>0</v>
      </c>
      <c r="AY22" s="1">
        <f t="shared" si="0"/>
        <v>18</v>
      </c>
    </row>
    <row r="23" spans="1:51" s="1" customFormat="1" ht="18" x14ac:dyDescent="0.2">
      <c r="A23" s="1" t="s">
        <v>56</v>
      </c>
      <c r="B23" s="74">
        <v>0</v>
      </c>
      <c r="C23" s="70">
        <v>0</v>
      </c>
      <c r="D23" s="70">
        <v>0</v>
      </c>
      <c r="E23" s="75"/>
      <c r="F23" s="100">
        <v>28.694027334983573</v>
      </c>
      <c r="G23" s="100">
        <v>30.675286452765178</v>
      </c>
      <c r="H23" s="100">
        <v>1.3497462477054312</v>
      </c>
      <c r="I23" s="100">
        <v>50.420318064751925</v>
      </c>
      <c r="J23" s="100">
        <v>129.00723877827102</v>
      </c>
      <c r="K23" s="100">
        <v>48.787840844514228</v>
      </c>
      <c r="L23" s="100">
        <v>5.8813443072702363</v>
      </c>
      <c r="M23" s="100">
        <v>33.664831100517809</v>
      </c>
      <c r="N23" s="100">
        <v>20.354162426216163</v>
      </c>
      <c r="O23" s="100">
        <v>36.920563820169306</v>
      </c>
      <c r="P23" s="100">
        <v>60.58261265361854</v>
      </c>
      <c r="Q23" s="100">
        <v>90.224676546060863</v>
      </c>
      <c r="R23" s="100">
        <v>38.858507886995831</v>
      </c>
      <c r="S23" s="100">
        <v>90.329629629629622</v>
      </c>
      <c r="T23" s="100">
        <v>28.377842565597668</v>
      </c>
      <c r="U23" s="100">
        <v>66.383171358947422</v>
      </c>
      <c r="V23" s="100">
        <v>107.1402518017281</v>
      </c>
      <c r="W23" s="100">
        <v>65.380146026585678</v>
      </c>
      <c r="X23" s="100">
        <v>70.23319615912213</v>
      </c>
      <c r="Y23" s="100">
        <v>59.119328534985449</v>
      </c>
      <c r="Z23" s="102" t="s">
        <v>68</v>
      </c>
      <c r="AA23" s="102" t="s">
        <v>68</v>
      </c>
      <c r="AB23" s="100">
        <v>32.4951171875</v>
      </c>
      <c r="AC23" s="100">
        <v>28.19619263286355</v>
      </c>
      <c r="AD23" s="100">
        <v>34.023388434748156</v>
      </c>
      <c r="AE23" s="100">
        <v>67.987104842346952</v>
      </c>
      <c r="AF23" s="100">
        <v>71.892180266203709</v>
      </c>
      <c r="AG23" s="100">
        <v>31.338621815324053</v>
      </c>
      <c r="AH23" s="100">
        <v>81.867006814138549</v>
      </c>
      <c r="AI23" s="100">
        <v>4.1477014110150243</v>
      </c>
      <c r="AJ23" s="103" t="s">
        <v>68</v>
      </c>
      <c r="AK23" s="103" t="s">
        <v>68</v>
      </c>
      <c r="AL23" s="103" t="s">
        <v>68</v>
      </c>
      <c r="AM23" s="103" t="s">
        <v>68</v>
      </c>
      <c r="AN23" s="103" t="s">
        <v>68</v>
      </c>
      <c r="AO23" s="103" t="s">
        <v>68</v>
      </c>
      <c r="AP23" s="103" t="s">
        <v>68</v>
      </c>
      <c r="AQ23" s="103" t="s">
        <v>68</v>
      </c>
      <c r="AR23" s="103" t="s">
        <v>68</v>
      </c>
      <c r="AS23" s="103" t="s">
        <v>68</v>
      </c>
      <c r="AU23" s="105">
        <v>25</v>
      </c>
      <c r="AV23" s="106">
        <v>50</v>
      </c>
      <c r="AW23" s="106">
        <v>25</v>
      </c>
      <c r="AX23" s="106">
        <v>50</v>
      </c>
      <c r="AY23" s="1">
        <f t="shared" si="0"/>
        <v>19</v>
      </c>
    </row>
    <row r="24" spans="1:51" s="1" customFormat="1" ht="18" x14ac:dyDescent="0.2">
      <c r="A24" s="1" t="s">
        <v>57</v>
      </c>
      <c r="B24" s="74">
        <v>25</v>
      </c>
      <c r="C24" s="70">
        <v>25</v>
      </c>
      <c r="D24" s="70">
        <v>25</v>
      </c>
      <c r="E24" s="75"/>
      <c r="F24" s="100">
        <v>76.579370659680379</v>
      </c>
      <c r="G24" s="100">
        <v>74.608525035531443</v>
      </c>
      <c r="H24" s="100">
        <v>3.7037037037037051</v>
      </c>
      <c r="I24" s="100">
        <v>94.001648972791969</v>
      </c>
      <c r="J24" s="100">
        <v>179.44543940743017</v>
      </c>
      <c r="K24" s="100">
        <v>82.047330552960275</v>
      </c>
      <c r="L24" s="100">
        <v>10.530264060356656</v>
      </c>
      <c r="M24" s="100">
        <v>65.751623243198836</v>
      </c>
      <c r="N24" s="100">
        <v>32.321656074963627</v>
      </c>
      <c r="O24" s="100">
        <v>60.942508424426734</v>
      </c>
      <c r="P24" s="100">
        <v>88.899635867091462</v>
      </c>
      <c r="Q24" s="100">
        <v>133.50828192445334</v>
      </c>
      <c r="R24" s="100">
        <v>108.3292203818135</v>
      </c>
      <c r="S24" s="100">
        <v>68.924537037037027</v>
      </c>
      <c r="T24" s="100">
        <v>45.907871720116624</v>
      </c>
      <c r="U24" s="100">
        <v>127.76648719455224</v>
      </c>
      <c r="V24" s="100">
        <v>176.84983712125981</v>
      </c>
      <c r="W24" s="100">
        <v>89.101070010814297</v>
      </c>
      <c r="X24" s="100">
        <v>70.23319615912213</v>
      </c>
      <c r="Y24" s="100">
        <v>80.065597667638528</v>
      </c>
      <c r="Z24" s="102" t="s">
        <v>68</v>
      </c>
      <c r="AA24" s="102" t="s">
        <v>68</v>
      </c>
      <c r="AB24" s="100">
        <v>53.637695312499979</v>
      </c>
      <c r="AC24" s="100">
        <v>61.94703521440119</v>
      </c>
      <c r="AD24" s="100">
        <v>61.20824573305481</v>
      </c>
      <c r="AE24" s="100">
        <v>122.14932961581044</v>
      </c>
      <c r="AF24" s="100">
        <v>88.013599537037024</v>
      </c>
      <c r="AG24" s="100">
        <v>49.764570753037752</v>
      </c>
      <c r="AH24" s="100">
        <v>156.61105703064686</v>
      </c>
      <c r="AI24" s="100">
        <v>23.304506144742835</v>
      </c>
      <c r="AJ24" s="103" t="s">
        <v>68</v>
      </c>
      <c r="AK24" s="103" t="s">
        <v>68</v>
      </c>
      <c r="AL24" s="103" t="s">
        <v>68</v>
      </c>
      <c r="AM24" s="103" t="s">
        <v>68</v>
      </c>
      <c r="AN24" s="103" t="s">
        <v>68</v>
      </c>
      <c r="AO24" s="103" t="s">
        <v>68</v>
      </c>
      <c r="AP24" s="103" t="s">
        <v>68</v>
      </c>
      <c r="AQ24" s="103" t="s">
        <v>68</v>
      </c>
      <c r="AR24" s="103" t="s">
        <v>68</v>
      </c>
      <c r="AS24" s="103" t="s">
        <v>68</v>
      </c>
      <c r="AU24" s="105">
        <v>25</v>
      </c>
      <c r="AV24" s="106">
        <v>0</v>
      </c>
      <c r="AW24" s="106">
        <v>25</v>
      </c>
      <c r="AX24" s="106">
        <v>0</v>
      </c>
      <c r="AY24" s="1">
        <f t="shared" si="0"/>
        <v>20</v>
      </c>
    </row>
    <row r="25" spans="1:51" s="1" customFormat="1" ht="18" x14ac:dyDescent="0.2">
      <c r="A25" s="1" t="s">
        <v>60</v>
      </c>
      <c r="B25" s="77"/>
      <c r="C25" s="78"/>
      <c r="D25" s="78"/>
      <c r="E25" s="65"/>
      <c r="F25" s="100">
        <v>61.643373818903328</v>
      </c>
      <c r="G25" s="100">
        <v>63.708855824015522</v>
      </c>
      <c r="H25" s="100">
        <v>5.5285606306014454</v>
      </c>
      <c r="I25" s="100">
        <v>72.405205314112322</v>
      </c>
      <c r="J25" s="100">
        <v>168.46212977066719</v>
      </c>
      <c r="K25" s="100">
        <v>82.047330552960275</v>
      </c>
      <c r="L25" s="100">
        <v>8.7791495198902609</v>
      </c>
      <c r="M25" s="100">
        <v>44.048450727377336</v>
      </c>
      <c r="N25" s="100">
        <v>35.171992672501517</v>
      </c>
      <c r="O25" s="100">
        <v>56.373797978137588</v>
      </c>
      <c r="P25" s="100">
        <v>111.98793809740553</v>
      </c>
      <c r="Q25" s="100">
        <v>133.50828192445334</v>
      </c>
      <c r="R25" s="100">
        <v>126.34987068880417</v>
      </c>
      <c r="S25" s="100">
        <v>90.329629629629622</v>
      </c>
      <c r="T25" s="100">
        <v>51.199999999999989</v>
      </c>
      <c r="U25" s="100">
        <v>100</v>
      </c>
      <c r="V25" s="100">
        <v>139.0971864112594</v>
      </c>
      <c r="W25" s="100">
        <v>83.961928303230181</v>
      </c>
      <c r="X25" s="100">
        <v>14.701217421124838</v>
      </c>
      <c r="Y25" s="100">
        <v>89.663811953352777</v>
      </c>
      <c r="Z25" s="102" t="s">
        <v>68</v>
      </c>
      <c r="AA25" s="102" t="s">
        <v>68</v>
      </c>
      <c r="AB25" s="100">
        <v>53.637695312499979</v>
      </c>
      <c r="AC25" s="100">
        <v>48.723020869588247</v>
      </c>
      <c r="AD25" s="100">
        <v>61.20824573305481</v>
      </c>
      <c r="AE25" s="100">
        <v>100</v>
      </c>
      <c r="AF25" s="100">
        <v>82.3974609375</v>
      </c>
      <c r="AG25" s="100">
        <v>36.857271438838765</v>
      </c>
      <c r="AH25" s="100">
        <v>156.61105703064686</v>
      </c>
      <c r="AI25" s="100">
        <v>7.5728265817023273</v>
      </c>
      <c r="AJ25" s="103" t="s">
        <v>68</v>
      </c>
      <c r="AK25" s="103" t="s">
        <v>68</v>
      </c>
      <c r="AL25" s="103" t="s">
        <v>68</v>
      </c>
      <c r="AM25" s="103" t="s">
        <v>68</v>
      </c>
      <c r="AN25" s="103" t="s">
        <v>68</v>
      </c>
      <c r="AO25" s="103" t="s">
        <v>68</v>
      </c>
      <c r="AP25" s="103" t="s">
        <v>68</v>
      </c>
      <c r="AQ25" s="103" t="s">
        <v>68</v>
      </c>
      <c r="AR25" s="103" t="s">
        <v>68</v>
      </c>
      <c r="AS25" s="103" t="s">
        <v>68</v>
      </c>
      <c r="AU25" s="105">
        <v>25</v>
      </c>
      <c r="AV25" s="105">
        <v>50</v>
      </c>
      <c r="AW25" s="106">
        <v>25</v>
      </c>
      <c r="AX25" s="106">
        <v>50</v>
      </c>
      <c r="AY25" s="1">
        <f t="shared" si="0"/>
        <v>21</v>
      </c>
    </row>
    <row r="26" spans="1:51" s="1" customFormat="1" ht="18" x14ac:dyDescent="0.2"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 s="55"/>
      <c r="AK26" s="55"/>
      <c r="AL26" s="15"/>
      <c r="AM26" s="15"/>
      <c r="AN26" s="15"/>
      <c r="AO26" s="15"/>
      <c r="AP26" s="15"/>
      <c r="AQ26" s="15"/>
      <c r="AR26" s="15"/>
      <c r="AS26" s="10"/>
      <c r="AU26" s="105">
        <v>25</v>
      </c>
      <c r="AV26" s="106">
        <v>0</v>
      </c>
      <c r="AW26" s="106">
        <v>25</v>
      </c>
      <c r="AX26" s="106">
        <v>0</v>
      </c>
      <c r="AY26" s="1">
        <f t="shared" si="0"/>
        <v>22</v>
      </c>
    </row>
    <row r="27" spans="1:51" s="1" customFormat="1" ht="19" thickBot="1" x14ac:dyDescent="0.25">
      <c r="F27" s="12"/>
      <c r="G27" s="13"/>
      <c r="H27" s="13"/>
      <c r="I27" s="13"/>
      <c r="J27" s="13"/>
      <c r="K27" s="13"/>
      <c r="L27" s="13"/>
      <c r="M27" s="13"/>
      <c r="N27" s="13"/>
      <c r="O27" s="14"/>
      <c r="P27" s="12"/>
      <c r="Q27" s="13"/>
      <c r="R27" s="13"/>
      <c r="S27" s="13"/>
      <c r="T27" s="13"/>
      <c r="U27" s="13"/>
      <c r="V27" s="13"/>
      <c r="W27" s="13"/>
      <c r="X27" s="13"/>
      <c r="Y27" s="13"/>
      <c r="Z27"/>
      <c r="AA27"/>
      <c r="AB27" s="13"/>
      <c r="AC27" s="13"/>
      <c r="AD27" s="13"/>
      <c r="AE27" s="13"/>
      <c r="AF27" s="13"/>
      <c r="AG27" s="13"/>
      <c r="AH27" s="13"/>
      <c r="AI27" s="14"/>
      <c r="AJ27" s="12"/>
      <c r="AK27" s="13"/>
      <c r="AL27" s="13"/>
      <c r="AM27" s="13"/>
      <c r="AN27" s="13"/>
      <c r="AO27" s="13"/>
      <c r="AP27" s="13"/>
      <c r="AQ27" s="13"/>
      <c r="AR27" s="13"/>
      <c r="AS27" s="14"/>
      <c r="AU27" s="105">
        <v>25</v>
      </c>
      <c r="AV27" s="106">
        <v>50</v>
      </c>
      <c r="AW27" s="106">
        <v>25</v>
      </c>
      <c r="AX27" s="106">
        <v>50</v>
      </c>
      <c r="AY27" s="1">
        <f t="shared" si="0"/>
        <v>23</v>
      </c>
    </row>
    <row r="28" spans="1:51" ht="18" x14ac:dyDescent="0.2">
      <c r="AU28" s="105">
        <v>25</v>
      </c>
      <c r="AV28" s="106">
        <v>0</v>
      </c>
      <c r="AW28" s="106">
        <v>25</v>
      </c>
      <c r="AX28" s="106">
        <v>0</v>
      </c>
      <c r="AY28" s="1">
        <f t="shared" si="0"/>
        <v>24</v>
      </c>
    </row>
    <row r="29" spans="1:51" ht="18" x14ac:dyDescent="0.2">
      <c r="AU29" s="105">
        <v>25</v>
      </c>
      <c r="AV29" s="106">
        <v>50</v>
      </c>
      <c r="AW29" s="106">
        <v>25</v>
      </c>
      <c r="AX29" s="106">
        <v>50</v>
      </c>
      <c r="AY29" s="1">
        <f t="shared" si="0"/>
        <v>25</v>
      </c>
    </row>
    <row r="30" spans="1:51" ht="18" x14ac:dyDescent="0.2">
      <c r="AU30" s="105">
        <v>25</v>
      </c>
      <c r="AV30" s="106">
        <v>0</v>
      </c>
      <c r="AW30" s="106">
        <v>25</v>
      </c>
      <c r="AX30" s="106">
        <v>0</v>
      </c>
      <c r="AY30" s="1">
        <f t="shared" si="0"/>
        <v>26</v>
      </c>
    </row>
    <row r="31" spans="1:51" ht="18" x14ac:dyDescent="0.2">
      <c r="AU31" s="105">
        <v>25</v>
      </c>
      <c r="AV31" s="106">
        <v>50</v>
      </c>
      <c r="AW31" s="106">
        <v>25</v>
      </c>
      <c r="AX31" s="106">
        <v>50</v>
      </c>
      <c r="AY31" s="1">
        <f t="shared" si="0"/>
        <v>27</v>
      </c>
    </row>
    <row r="32" spans="1:51" s="1" customFormat="1" ht="19" thickBot="1" x14ac:dyDescent="0.25">
      <c r="A32" s="1" t="s">
        <v>45</v>
      </c>
      <c r="B32" s="1" t="s">
        <v>44</v>
      </c>
      <c r="AU32" s="105">
        <v>25</v>
      </c>
      <c r="AV32" s="106">
        <v>0</v>
      </c>
      <c r="AW32" s="106">
        <v>25</v>
      </c>
      <c r="AX32" s="106">
        <v>0</v>
      </c>
      <c r="AY32" s="1">
        <f t="shared" si="0"/>
        <v>28</v>
      </c>
    </row>
    <row r="33" spans="1:51" s="1" customFormat="1" ht="18" x14ac:dyDescent="0.2">
      <c r="A33" s="1" t="s">
        <v>46</v>
      </c>
      <c r="B33" s="159" t="s">
        <v>50</v>
      </c>
      <c r="C33" s="159"/>
      <c r="D33" s="159"/>
      <c r="E33" s="159"/>
      <c r="F33" s="159"/>
      <c r="G33" s="159"/>
      <c r="H33" s="159"/>
      <c r="I33" s="159"/>
      <c r="J33" s="159"/>
      <c r="K33" s="159"/>
      <c r="Z33" s="152" t="s">
        <v>39</v>
      </c>
      <c r="AA33" s="153"/>
      <c r="AU33" s="105">
        <v>25</v>
      </c>
      <c r="AV33" s="106">
        <v>50</v>
      </c>
      <c r="AW33" s="106">
        <v>25</v>
      </c>
      <c r="AX33" s="106">
        <v>50</v>
      </c>
      <c r="AY33" s="1">
        <f t="shared" si="0"/>
        <v>29</v>
      </c>
    </row>
    <row r="34" spans="1:51" s="1" customFormat="1" ht="18" x14ac:dyDescent="0.2">
      <c r="A34" s="1" t="s">
        <v>47</v>
      </c>
      <c r="B34" s="159" t="s">
        <v>48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Z34" s="154"/>
      <c r="AA34" s="155"/>
      <c r="AU34" s="105">
        <v>25</v>
      </c>
      <c r="AV34" s="106">
        <v>0</v>
      </c>
      <c r="AW34" s="106">
        <v>25</v>
      </c>
      <c r="AX34" s="106">
        <v>0</v>
      </c>
      <c r="AY34" s="1">
        <f t="shared" si="0"/>
        <v>30</v>
      </c>
    </row>
    <row r="35" spans="1:51" s="1" customFormat="1" ht="18" x14ac:dyDescent="0.2">
      <c r="A35" s="1" t="s">
        <v>49</v>
      </c>
      <c r="B35" s="1" t="s">
        <v>51</v>
      </c>
      <c r="Z35" s="154"/>
      <c r="AA35" s="155"/>
      <c r="AU35" s="105">
        <v>25</v>
      </c>
      <c r="AV35" s="106">
        <v>50</v>
      </c>
      <c r="AW35" s="106">
        <v>25</v>
      </c>
      <c r="AX35" s="106">
        <v>50</v>
      </c>
      <c r="AY35" s="1">
        <f t="shared" si="0"/>
        <v>31</v>
      </c>
    </row>
    <row r="36" spans="1:51" s="1" customFormat="1" ht="18" x14ac:dyDescent="0.2">
      <c r="A36" s="1" t="s">
        <v>58</v>
      </c>
      <c r="B36" s="1" t="s">
        <v>59</v>
      </c>
      <c r="Z36" s="154"/>
      <c r="AA36" s="155"/>
      <c r="AU36" s="105">
        <v>25</v>
      </c>
      <c r="AV36" s="106">
        <v>0</v>
      </c>
      <c r="AW36" s="106">
        <v>25</v>
      </c>
      <c r="AX36" s="106">
        <v>0</v>
      </c>
      <c r="AY36" s="1">
        <f t="shared" si="0"/>
        <v>32</v>
      </c>
    </row>
    <row r="37" spans="1:51" s="1" customFormat="1" ht="18" x14ac:dyDescent="0.2">
      <c r="A37" s="1" t="s">
        <v>61</v>
      </c>
      <c r="B37" s="1" t="s">
        <v>62</v>
      </c>
      <c r="Z37" s="154"/>
      <c r="AA37" s="155"/>
      <c r="AU37" s="105">
        <v>25</v>
      </c>
      <c r="AV37" s="106">
        <v>50</v>
      </c>
      <c r="AW37" s="106">
        <v>25</v>
      </c>
      <c r="AX37" s="106">
        <v>50</v>
      </c>
      <c r="AY37" s="1">
        <f t="shared" si="0"/>
        <v>33</v>
      </c>
    </row>
    <row r="38" spans="1:51" ht="18" x14ac:dyDescent="0.2">
      <c r="Z38" s="154"/>
      <c r="AA38" s="155"/>
      <c r="AU38" s="105">
        <v>25</v>
      </c>
      <c r="AV38" s="106">
        <v>0</v>
      </c>
      <c r="AW38" s="106">
        <v>25</v>
      </c>
      <c r="AX38" s="106">
        <v>0</v>
      </c>
      <c r="AY38" s="1">
        <f t="shared" si="0"/>
        <v>34</v>
      </c>
    </row>
    <row r="39" spans="1:51" ht="18" x14ac:dyDescent="0.2">
      <c r="Z39" s="154"/>
      <c r="AA39" s="155"/>
      <c r="AU39" s="105">
        <v>25</v>
      </c>
      <c r="AV39" s="106">
        <v>50</v>
      </c>
      <c r="AW39" s="106">
        <v>25</v>
      </c>
      <c r="AX39" s="106">
        <v>50</v>
      </c>
      <c r="AY39" s="1">
        <f t="shared" si="0"/>
        <v>35</v>
      </c>
    </row>
    <row r="40" spans="1:51" ht="18" x14ac:dyDescent="0.2">
      <c r="Z40" s="154"/>
      <c r="AA40" s="155"/>
      <c r="AU40" s="105">
        <v>25</v>
      </c>
      <c r="AV40" s="106">
        <v>0</v>
      </c>
      <c r="AW40" s="106">
        <v>25</v>
      </c>
      <c r="AX40" s="106">
        <v>0</v>
      </c>
      <c r="AY40" s="1">
        <f t="shared" si="0"/>
        <v>36</v>
      </c>
    </row>
    <row r="41" spans="1:51" ht="18" x14ac:dyDescent="0.2">
      <c r="Z41" s="154"/>
      <c r="AA41" s="155"/>
      <c r="AU41" s="105">
        <v>25</v>
      </c>
      <c r="AV41" s="106">
        <v>50</v>
      </c>
      <c r="AW41" s="106">
        <v>25</v>
      </c>
      <c r="AX41" s="106">
        <v>50</v>
      </c>
      <c r="AY41" s="1">
        <f t="shared" si="0"/>
        <v>37</v>
      </c>
    </row>
    <row r="42" spans="1:51" ht="18" x14ac:dyDescent="0.2">
      <c r="Z42" s="154"/>
      <c r="AA42" s="155"/>
      <c r="AU42" s="105">
        <v>25</v>
      </c>
      <c r="AV42" s="106">
        <v>0</v>
      </c>
      <c r="AW42" s="106">
        <v>25</v>
      </c>
      <c r="AX42" s="106">
        <v>0</v>
      </c>
      <c r="AY42" s="1">
        <f t="shared" si="0"/>
        <v>38</v>
      </c>
    </row>
    <row r="43" spans="1:51" ht="18" x14ac:dyDescent="0.2">
      <c r="Z43" s="154"/>
      <c r="AA43" s="156"/>
      <c r="AU43" s="105">
        <v>25</v>
      </c>
      <c r="AV43" s="106">
        <v>50</v>
      </c>
      <c r="AW43" s="106">
        <v>25</v>
      </c>
      <c r="AX43" s="106">
        <v>50</v>
      </c>
      <c r="AY43" s="1">
        <f t="shared" si="0"/>
        <v>39</v>
      </c>
    </row>
    <row r="44" spans="1:51" ht="19" thickBot="1" x14ac:dyDescent="0.25">
      <c r="Z44" s="157"/>
      <c r="AA44" s="158"/>
      <c r="AU44" s="105">
        <v>25</v>
      </c>
      <c r="AV44" s="106">
        <v>0</v>
      </c>
      <c r="AW44" s="106">
        <v>25</v>
      </c>
      <c r="AX44" s="106">
        <v>0</v>
      </c>
      <c r="AY44" s="1">
        <f t="shared" si="0"/>
        <v>40</v>
      </c>
    </row>
  </sheetData>
  <mergeCells count="32">
    <mergeCell ref="F1:O1"/>
    <mergeCell ref="P1:Y1"/>
    <mergeCell ref="Z1:AI1"/>
    <mergeCell ref="AJ1:AS1"/>
    <mergeCell ref="F2:O2"/>
    <mergeCell ref="P2:Y2"/>
    <mergeCell ref="Z2:AI2"/>
    <mergeCell ref="AJ2:AS2"/>
    <mergeCell ref="AP3:AQ3"/>
    <mergeCell ref="AR3:AS3"/>
    <mergeCell ref="V3:W3"/>
    <mergeCell ref="AB3:AC3"/>
    <mergeCell ref="AD3:AE3"/>
    <mergeCell ref="AF3:AG3"/>
    <mergeCell ref="AH3:AI3"/>
    <mergeCell ref="AJ3:AK3"/>
    <mergeCell ref="AU3:AX3"/>
    <mergeCell ref="B33:K33"/>
    <mergeCell ref="B34:P34"/>
    <mergeCell ref="Z33:AA44"/>
    <mergeCell ref="T3:U3"/>
    <mergeCell ref="X3:Y3"/>
    <mergeCell ref="Z3:AA3"/>
    <mergeCell ref="F3:G3"/>
    <mergeCell ref="H3:I3"/>
    <mergeCell ref="J3:K3"/>
    <mergeCell ref="L3:M3"/>
    <mergeCell ref="N3:O3"/>
    <mergeCell ref="P3:Q3"/>
    <mergeCell ref="R3:S3"/>
    <mergeCell ref="AL3:AM3"/>
    <mergeCell ref="AN3:AO3"/>
  </mergeCells>
  <conditionalFormatting sqref="B22:E25 B21:D21 B19:E20 B18 D18:E18 B5:E17">
    <cfRule type="colorScale" priority="2">
      <colorScale>
        <cfvo type="min"/>
        <cfvo type="max"/>
        <color rgb="FFFCFCFF"/>
        <color rgb="FFF8696B"/>
      </colorScale>
    </cfRule>
  </conditionalFormatting>
  <conditionalFormatting sqref="AU19:AX24 AU18 AU39:AW44 AU25:AU38 AW25:AX25 AV25:AV31 AV33:AV44 AW26:AW38 AX26:AX31 AX33:AX44 AU5:AX17 AW18:AX1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060F-E34C-3A42-881A-10F2362A71F6}">
  <dimension ref="A1"/>
  <sheetViews>
    <sheetView workbookViewId="0">
      <selection activeCell="J15" sqref="J1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251F-53D4-DB4F-88EF-4BB26E57C7A4}">
  <dimension ref="A1:C5"/>
  <sheetViews>
    <sheetView workbookViewId="0">
      <selection activeCell="C19" sqref="C19"/>
    </sheetView>
  </sheetViews>
  <sheetFormatPr baseColWidth="10" defaultRowHeight="16" x14ac:dyDescent="0.2"/>
  <cols>
    <col min="1" max="1" width="27" bestFit="1" customWidth="1"/>
    <col min="3" max="3" width="54.6640625" bestFit="1" customWidth="1"/>
  </cols>
  <sheetData>
    <row r="1" spans="1:3" x14ac:dyDescent="0.2">
      <c r="A1" t="s">
        <v>30</v>
      </c>
    </row>
    <row r="3" spans="1:3" x14ac:dyDescent="0.2">
      <c r="A3" t="s">
        <v>20</v>
      </c>
      <c r="B3" t="s">
        <v>19</v>
      </c>
      <c r="C3" t="s">
        <v>31</v>
      </c>
    </row>
    <row r="4" spans="1:3" x14ac:dyDescent="0.2">
      <c r="A4" t="s">
        <v>38</v>
      </c>
      <c r="B4" t="s">
        <v>36</v>
      </c>
      <c r="C4" t="s">
        <v>37</v>
      </c>
    </row>
    <row r="5" spans="1:3" x14ac:dyDescent="0.2">
      <c r="A5" t="s">
        <v>63</v>
      </c>
      <c r="B5" t="s">
        <v>64</v>
      </c>
      <c r="C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Tumor measurement </vt:lpstr>
      <vt:lpstr>Treatment</vt:lpstr>
      <vt:lpstr>Histology</vt:lpstr>
      <vt:lpstr>comments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West, Jeffrey B</cp:lastModifiedBy>
  <dcterms:created xsi:type="dcterms:W3CDTF">2021-08-17T18:04:35Z</dcterms:created>
  <dcterms:modified xsi:type="dcterms:W3CDTF">2023-04-27T19:37:07Z</dcterms:modified>
</cp:coreProperties>
</file>