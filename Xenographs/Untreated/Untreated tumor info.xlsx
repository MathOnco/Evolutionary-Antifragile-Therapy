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0"/>
  <workbookPr defaultThemeVersion="166925"/>
  <mc:AlternateContent xmlns:mc="http://schemas.openxmlformats.org/markup-compatibility/2006">
    <mc:Choice Requires="x15">
      <x15ac:absPath xmlns:x15ac="http://schemas.microsoft.com/office/spreadsheetml/2010/11/ac" url="/Volumes/data/Bina Desai/Anti-fragile/Invivo study/"/>
    </mc:Choice>
  </mc:AlternateContent>
  <xr:revisionPtr revIDLastSave="0" documentId="8_{EE444914-4A38-3B40-88E7-7BF0F27C3E1A}" xr6:coauthVersionLast="47" xr6:coauthVersionMax="47" xr10:uidLastSave="{00000000-0000-0000-0000-000000000000}"/>
  <bookViews>
    <workbookView xWindow="10220" yWindow="3260" windowWidth="27240" windowHeight="16440" xr2:uid="{A8C14E6F-5C4A-0745-8B09-5206F8CC1D91}"/>
  </bookViews>
  <sheets>
    <sheet name="Untreated tumor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6" i="1" l="1"/>
  <c r="B20" i="1"/>
  <c r="C22" i="1"/>
  <c r="B22" i="1"/>
  <c r="C21" i="1"/>
  <c r="B21" i="1"/>
  <c r="C20" i="1"/>
  <c r="C19" i="1"/>
  <c r="B19" i="1"/>
  <c r="C18" i="1"/>
  <c r="B18" i="1"/>
  <c r="C17" i="1"/>
  <c r="B17" i="1"/>
  <c r="C16" i="1"/>
  <c r="A20" i="1"/>
  <c r="A9" i="1"/>
  <c r="A19" i="1"/>
  <c r="A8" i="1"/>
  <c r="A18" i="1"/>
  <c r="A7" i="1"/>
  <c r="A17" i="1"/>
  <c r="A6" i="1"/>
  <c r="A16" i="1"/>
  <c r="A11" i="1"/>
  <c r="A22" i="1"/>
  <c r="A5" i="1"/>
  <c r="A10" i="1"/>
  <c r="A21" i="1"/>
</calcChain>
</file>

<file path=xl/sharedStrings.xml><?xml version="1.0" encoding="utf-8"?>
<sst xmlns="http://schemas.openxmlformats.org/spreadsheetml/2006/main" count="7" uniqueCount="7">
  <si>
    <t>Left</t>
  </si>
  <si>
    <t>Right</t>
  </si>
  <si>
    <t>643 (untreated)</t>
  </si>
  <si>
    <t xml:space="preserve">Days </t>
  </si>
  <si>
    <t xml:space="preserve">Tumor diameter </t>
  </si>
  <si>
    <t>(Tumor diameter - skin measurement)^3*100</t>
  </si>
  <si>
    <t xml:space="preserve">Normalized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</si>
</sst>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E081DC-CD24-4E4D-BC61-B607C018B603}">
  <dimension ref="A2:E22"/>
  <sheetViews>
    <sheetView tabSelected="1" workbookViewId="0">
      <selection activeCell="G21" sqref="G21"/>
    </sheetView>
  </sheetViews>
  <sheetFormatPr baseColWidth="10" defaultRowHeight="16" x14ac:dyDescent="0.2"/>
  <cols>
    <col min="3" max="3" width="12.1640625" bestFit="1" customWidth="1"/>
  </cols>
  <sheetData>
    <row r="2" spans="1:5" x14ac:dyDescent="0.2">
      <c r="A2" t="s">
        <v>3</v>
      </c>
      <c r="B2" s="1" t="s">
        <v>2</v>
      </c>
      <c r="C2" s="1"/>
    </row>
    <row r="3" spans="1:5" x14ac:dyDescent="0.2">
      <c r="B3" s="1" t="s">
        <v>4</v>
      </c>
      <c r="C3" s="1"/>
    </row>
    <row r="4" spans="1:5" x14ac:dyDescent="0.2">
      <c r="B4" t="s">
        <v>0</v>
      </c>
      <c r="C4" t="s">
        <v>1</v>
      </c>
    </row>
    <row r="5" spans="1:5" x14ac:dyDescent="0.2">
      <c r="A5">
        <f ca="1">(#REF!-$A$5)</f>
        <v>0</v>
      </c>
      <c r="B5">
        <v>4.5999999999999996</v>
      </c>
      <c r="C5">
        <v>5.8</v>
      </c>
    </row>
    <row r="6" spans="1:5" x14ac:dyDescent="0.2">
      <c r="A6">
        <f t="shared" ref="A6:A11" ca="1" si="0">(#REF!-$A$5)</f>
        <v>4</v>
      </c>
      <c r="B6">
        <v>5.0999999999999996</v>
      </c>
      <c r="C6">
        <v>6.7</v>
      </c>
    </row>
    <row r="7" spans="1:5" x14ac:dyDescent="0.2">
      <c r="A7">
        <f t="shared" ref="A7:A12" ca="1" si="1">(#REF!-$A$5)</f>
        <v>7</v>
      </c>
      <c r="B7">
        <v>6.6</v>
      </c>
      <c r="C7">
        <v>7.3</v>
      </c>
    </row>
    <row r="8" spans="1:5" x14ac:dyDescent="0.2">
      <c r="A8">
        <f t="shared" ref="A8:A13" ca="1" si="2">(#REF!-$A$5)</f>
        <v>11</v>
      </c>
      <c r="B8">
        <v>6</v>
      </c>
      <c r="C8">
        <v>7.7</v>
      </c>
    </row>
    <row r="9" spans="1:5" x14ac:dyDescent="0.2">
      <c r="A9">
        <f t="shared" ref="A9:A14" ca="1" si="3">(#REF!-$A$5)</f>
        <v>14</v>
      </c>
      <c r="B9">
        <v>6.2</v>
      </c>
      <c r="C9">
        <v>7.6</v>
      </c>
    </row>
    <row r="10" spans="1:5" x14ac:dyDescent="0.2">
      <c r="A10">
        <f t="shared" ref="A10:A15" ca="1" si="4">(#REF!-$A$5)</f>
        <v>18</v>
      </c>
      <c r="B10">
        <v>7.3</v>
      </c>
      <c r="C10">
        <v>9.1</v>
      </c>
    </row>
    <row r="11" spans="1:5" x14ac:dyDescent="0.2">
      <c r="A11">
        <f t="shared" ref="A11:A16" ca="1" si="5">(#REF!-$A$5)</f>
        <v>21</v>
      </c>
      <c r="B11">
        <v>8.1999999999999993</v>
      </c>
      <c r="C11">
        <v>9.1</v>
      </c>
    </row>
    <row r="15" spans="1:5" x14ac:dyDescent="0.2">
      <c r="A15" t="s">
        <v>6</v>
      </c>
      <c r="B15" s="1" t="s">
        <v>5</v>
      </c>
      <c r="C15" s="1"/>
      <c r="D15" s="1"/>
      <c r="E15" s="1"/>
    </row>
    <row r="16" spans="1:5" x14ac:dyDescent="0.2">
      <c r="A16">
        <f ca="1">A5</f>
        <v>0</v>
      </c>
      <c r="B16">
        <f>IF(B5="","",(((B5-0.7)/(B$5-0.7))^3)*100)</f>
        <v>100</v>
      </c>
      <c r="C16">
        <f t="shared" ref="C16" si="6">IF(C5="","",(((C5-0.7)/(C$5-0.7))^3)*100)</f>
        <v>100</v>
      </c>
    </row>
    <row r="17" spans="1:3" x14ac:dyDescent="0.2">
      <c r="A17">
        <f ca="1">A6</f>
        <v>4</v>
      </c>
      <c r="B17">
        <f t="shared" ref="B17:C22" si="7">IF(B6="","",(((B6-0.7)/(B$5-0.7))^3)*100)</f>
        <v>143.60322999376254</v>
      </c>
      <c r="C17">
        <f t="shared" si="7"/>
        <v>162.83329940972931</v>
      </c>
    </row>
    <row r="18" spans="1:3" x14ac:dyDescent="0.2">
      <c r="A18">
        <f ca="1">A7</f>
        <v>7</v>
      </c>
      <c r="B18">
        <f t="shared" si="7"/>
        <v>346.2280213759505</v>
      </c>
      <c r="C18">
        <f t="shared" si="7"/>
        <v>216.7311215143497</v>
      </c>
    </row>
    <row r="19" spans="1:3" x14ac:dyDescent="0.2">
      <c r="A19">
        <f ca="1">A8</f>
        <v>11</v>
      </c>
      <c r="B19">
        <f t="shared" si="7"/>
        <v>250.9769213911226</v>
      </c>
      <c r="C19">
        <f t="shared" si="7"/>
        <v>258.57324859970902</v>
      </c>
    </row>
    <row r="20" spans="1:3" x14ac:dyDescent="0.2">
      <c r="A20">
        <f ca="1">A9</f>
        <v>14</v>
      </c>
      <c r="B20">
        <f>IF(B9="","",(((B9-0.7)/(B$5-0.7))^3)*100)</f>
        <v>280.47505858156751</v>
      </c>
      <c r="C20">
        <f t="shared" si="7"/>
        <v>247.64909423977207</v>
      </c>
    </row>
    <row r="21" spans="1:3" x14ac:dyDescent="0.2">
      <c r="A21">
        <f t="shared" ref="A21:A22" ca="1" si="8">A10</f>
        <v>18</v>
      </c>
      <c r="B21">
        <f t="shared" si="7"/>
        <v>484.66090122894877</v>
      </c>
      <c r="C21">
        <f t="shared" si="7"/>
        <v>446.81457358029724</v>
      </c>
    </row>
    <row r="22" spans="1:3" x14ac:dyDescent="0.2">
      <c r="A22">
        <f t="shared" ca="1" si="8"/>
        <v>21</v>
      </c>
      <c r="B22">
        <f t="shared" si="7"/>
        <v>711.19708693673192</v>
      </c>
      <c r="C22">
        <f t="shared" si="7"/>
        <v>446.81457358029724</v>
      </c>
    </row>
  </sheetData>
  <mergeCells count="3">
    <mergeCell ref="B2:C2"/>
    <mergeCell ref="B3:C3"/>
    <mergeCell ref="B15:E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Untreated tumor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2022-02-08T22:06:22Z</dcterms:created>
  <dcterms:modified xsi:type="dcterms:W3CDTF">2022-02-08T23:31:33Z</dcterms:modified>
</cp:coreProperties>
</file>